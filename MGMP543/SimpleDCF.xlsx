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k/Dropbox/rice/teaching/Core Finance Evening MBA 2024-25 Spring (MGMP 543)/slides/Week9/"/>
    </mc:Choice>
  </mc:AlternateContent>
  <xr:revisionPtr revIDLastSave="0" documentId="13_ncr:1_{5A860208-73B8-C44D-8958-FF52E6F65E42}" xr6:coauthVersionLast="47" xr6:coauthVersionMax="47" xr10:uidLastSave="{00000000-0000-0000-0000-000000000000}"/>
  <bookViews>
    <workbookView xWindow="-34540" yWindow="-2640" windowWidth="26440" windowHeight="16440" tabRatio="500" activeTab="1" xr2:uid="{00000000-000D-0000-FFFF-FFFF00000000}"/>
  </bookViews>
  <sheets>
    <sheet name="Starting Sheet" sheetId="2" r:id="rId1"/>
    <sheet name="Solution" sheetId="1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7" i="1" l="1"/>
  <c r="F7" i="1"/>
  <c r="G7" i="1"/>
  <c r="H7" i="1"/>
  <c r="I7" i="1"/>
  <c r="J7" i="1"/>
  <c r="K7" i="1"/>
  <c r="K8" i="1"/>
  <c r="K9" i="1"/>
  <c r="K41" i="1"/>
  <c r="K10" i="1"/>
  <c r="K11" i="1"/>
  <c r="K12" i="1"/>
  <c r="K13" i="1"/>
  <c r="E41" i="1"/>
  <c r="E10" i="1"/>
  <c r="E40" i="1"/>
  <c r="F41" i="1"/>
  <c r="F10" i="1"/>
  <c r="F40" i="1"/>
  <c r="G41" i="1"/>
  <c r="G10" i="1"/>
  <c r="G40" i="1"/>
  <c r="H41" i="1"/>
  <c r="H10" i="1"/>
  <c r="H40" i="1"/>
  <c r="I41" i="1"/>
  <c r="I10" i="1"/>
  <c r="I40" i="1"/>
  <c r="J41" i="1"/>
  <c r="J10" i="1"/>
  <c r="J40" i="1"/>
  <c r="K40" i="1"/>
  <c r="K39" i="1"/>
  <c r="J39" i="1"/>
  <c r="K15" i="1"/>
  <c r="K42" i="1"/>
  <c r="J42" i="1"/>
  <c r="K16" i="1"/>
  <c r="K17" i="1"/>
  <c r="J8" i="1"/>
  <c r="J9" i="1"/>
  <c r="J11" i="1"/>
  <c r="J12" i="1"/>
  <c r="J13" i="1"/>
  <c r="I39" i="1"/>
  <c r="J15" i="1"/>
  <c r="I42" i="1"/>
  <c r="J16" i="1"/>
  <c r="J17" i="1"/>
  <c r="I8" i="1"/>
  <c r="I9" i="1"/>
  <c r="I11" i="1"/>
  <c r="I12" i="1"/>
  <c r="I13" i="1"/>
  <c r="H39" i="1"/>
  <c r="I15" i="1"/>
  <c r="H42" i="1"/>
  <c r="I16" i="1"/>
  <c r="I17" i="1"/>
  <c r="H8" i="1"/>
  <c r="H9" i="1"/>
  <c r="H11" i="1"/>
  <c r="H12" i="1"/>
  <c r="H13" i="1"/>
  <c r="G39" i="1"/>
  <c r="H15" i="1"/>
  <c r="G42" i="1"/>
  <c r="H16" i="1"/>
  <c r="H17" i="1"/>
  <c r="G8" i="1"/>
  <c r="G9" i="1"/>
  <c r="G11" i="1"/>
  <c r="G12" i="1"/>
  <c r="G13" i="1"/>
  <c r="F39" i="1"/>
  <c r="G15" i="1"/>
  <c r="F42" i="1"/>
  <c r="G16" i="1"/>
  <c r="G17" i="1"/>
  <c r="F8" i="1"/>
  <c r="F9" i="1"/>
  <c r="F11" i="1"/>
  <c r="F12" i="1"/>
  <c r="F13" i="1"/>
  <c r="E39" i="1"/>
  <c r="F15" i="1"/>
  <c r="E42" i="1"/>
  <c r="F16" i="1"/>
  <c r="F17" i="1"/>
  <c r="E8" i="1"/>
  <c r="E9" i="1"/>
  <c r="E11" i="1"/>
  <c r="E12" i="1"/>
  <c r="E13" i="1"/>
  <c r="D39" i="1"/>
  <c r="E15" i="1"/>
  <c r="E16" i="1"/>
  <c r="E17" i="1"/>
  <c r="D35" i="1"/>
  <c r="D39" i="2"/>
  <c r="D11" i="2"/>
  <c r="D12" i="2"/>
  <c r="D13" i="2"/>
  <c r="D17" i="2"/>
  <c r="D9" i="2"/>
  <c r="D19" i="1"/>
  <c r="I20" i="1"/>
  <c r="D20" i="1"/>
  <c r="D21" i="1"/>
  <c r="D11" i="1"/>
  <c r="D12" i="1"/>
  <c r="D13" i="1"/>
  <c r="D17" i="1"/>
  <c r="D9" i="1"/>
</calcChain>
</file>

<file path=xl/sharedStrings.xml><?xml version="1.0" encoding="utf-8"?>
<sst xmlns="http://schemas.openxmlformats.org/spreadsheetml/2006/main" count="89" uniqueCount="45">
  <si>
    <t xml:space="preserve">Latest </t>
  </si>
  <si>
    <t>year</t>
  </si>
  <si>
    <t>Forecast</t>
  </si>
  <si>
    <t>Sales</t>
  </si>
  <si>
    <t>2.</t>
  </si>
  <si>
    <t>Cost of goods sold</t>
  </si>
  <si>
    <t>3.</t>
  </si>
  <si>
    <t>EBITDA (1 - 2)</t>
  </si>
  <si>
    <t>4.</t>
  </si>
  <si>
    <t xml:space="preserve">Depreciation </t>
  </si>
  <si>
    <t>5.</t>
  </si>
  <si>
    <t xml:space="preserve">Profit before tax  (EBIT)  (3 - 4) </t>
  </si>
  <si>
    <t>6.</t>
  </si>
  <si>
    <t xml:space="preserve">Tax </t>
  </si>
  <si>
    <t>7.</t>
  </si>
  <si>
    <t>Profit after tax (5 - 6)</t>
  </si>
  <si>
    <t>8.</t>
  </si>
  <si>
    <t>Investment in fixed assets</t>
  </si>
  <si>
    <t>9.</t>
  </si>
  <si>
    <t>Investment in working capital</t>
  </si>
  <si>
    <t>10.</t>
  </si>
  <si>
    <t>Free cash flow (7 + 4 - 8 - 9)</t>
  </si>
  <si>
    <t>PV Free cash flow, years 1-6</t>
  </si>
  <si>
    <t>(Horizon value in year 6)</t>
  </si>
  <si>
    <t xml:space="preserve">PV Horizon value </t>
  </si>
  <si>
    <t>PV of company</t>
  </si>
  <si>
    <t>Assumptions:</t>
  </si>
  <si>
    <t>Sales growth (percent)</t>
  </si>
  <si>
    <t>Costs (percent of sales)</t>
  </si>
  <si>
    <t>Working capital (percent of sales)</t>
  </si>
  <si>
    <t>Net fixed assets (percent of sales)</t>
  </si>
  <si>
    <t>Depreciation (percent of net fixed assets)</t>
  </si>
  <si>
    <t>Tax rate, percent</t>
  </si>
  <si>
    <r>
      <t>Cost of debt, percent (</t>
    </r>
    <r>
      <rPr>
        <i/>
        <sz val="10"/>
        <rFont val="Arial"/>
        <family val="2"/>
      </rPr>
      <t>r</t>
    </r>
    <r>
      <rPr>
        <i/>
        <vertAlign val="subscript"/>
        <sz val="10"/>
        <rFont val="Arial"/>
        <family val="2"/>
      </rPr>
      <t>D</t>
    </r>
    <r>
      <rPr>
        <sz val="10"/>
        <rFont val="Arial"/>
        <family val="2"/>
      </rPr>
      <t>)</t>
    </r>
  </si>
  <si>
    <r>
      <t>Cost of equity, percent (</t>
    </r>
    <r>
      <rPr>
        <i/>
        <sz val="10"/>
        <rFont val="Arial"/>
        <family val="2"/>
      </rPr>
      <t>r</t>
    </r>
    <r>
      <rPr>
        <i/>
        <vertAlign val="subscript"/>
        <sz val="10"/>
        <rFont val="Arial"/>
        <family val="2"/>
      </rPr>
      <t>E</t>
    </r>
    <r>
      <rPr>
        <sz val="10"/>
        <rFont val="Arial"/>
        <family val="2"/>
      </rPr>
      <t>)</t>
    </r>
  </si>
  <si>
    <t>Debt ratio (D/V)</t>
  </si>
  <si>
    <t xml:space="preserve">WACC, percent </t>
  </si>
  <si>
    <t>Long-term growth forecast, percent</t>
  </si>
  <si>
    <t>Fixed assets and working capital</t>
  </si>
  <si>
    <t>Gross fixed assets</t>
  </si>
  <si>
    <r>
      <t>Less</t>
    </r>
    <r>
      <rPr>
        <sz val="10"/>
        <rFont val="Arial"/>
        <family val="2"/>
      </rPr>
      <t xml:space="preserve"> accumulated depreciation</t>
    </r>
  </si>
  <si>
    <t>Net fixed assets</t>
  </si>
  <si>
    <t>Net working capital</t>
  </si>
  <si>
    <t>ShouldWeBuy Inc.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</si>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</sst>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CC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8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center"/>
    </xf>
    <xf numFmtId="164" fontId="2" fillId="3" borderId="0" xfId="0" applyNumberFormat="1" applyFont="1" applyFill="1" applyProtection="1">
      <protection locked="0"/>
    </xf>
    <xf numFmtId="164" fontId="2" fillId="0" borderId="0" xfId="0" applyNumberFormat="1" applyFont="1"/>
    <xf numFmtId="49" fontId="2" fillId="0" borderId="0" xfId="0" applyNumberFormat="1" applyFont="1" applyAlignment="1">
      <alignment horizontal="center"/>
    </xf>
    <xf numFmtId="164" fontId="4" fillId="4" borderId="0" xfId="0" applyNumberFormat="1" applyFont="1" applyFill="1"/>
    <xf numFmtId="1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49" fontId="2" fillId="0" borderId="0" xfId="0" applyNumberFormat="1" applyFont="1"/>
    <xf numFmtId="0" fontId="5" fillId="0" borderId="0" xfId="0" applyFont="1"/>
    <xf numFmtId="9" fontId="2" fillId="3" borderId="0" xfId="1" applyFont="1" applyFill="1" applyProtection="1">
      <protection locked="0"/>
    </xf>
    <xf numFmtId="9" fontId="2" fillId="3" borderId="0" xfId="1" applyFont="1" applyFill="1" applyAlignment="1" applyProtection="1">
      <alignment horizontal="right"/>
      <protection locked="0"/>
    </xf>
    <xf numFmtId="166" fontId="2" fillId="0" borderId="0" xfId="1" applyNumberFormat="1" applyFont="1" applyProtection="1">
      <protection locked="0"/>
    </xf>
    <xf numFmtId="0" fontId="2" fillId="5" borderId="0" xfId="0" applyFont="1" applyFill="1"/>
    <xf numFmtId="0" fontId="4" fillId="5" borderId="0" xfId="0" applyFont="1" applyFill="1" applyAlignment="1">
      <alignment horizontal="center"/>
    </xf>
    <xf numFmtId="164" fontId="2" fillId="5" borderId="0" xfId="0" applyNumberFormat="1" applyFont="1" applyFill="1"/>
    <xf numFmtId="165" fontId="2" fillId="5" borderId="0" xfId="0" applyNumberFormat="1" applyFont="1" applyFill="1"/>
    <xf numFmtId="0" fontId="2" fillId="6" borderId="0" xfId="0" applyFont="1" applyFill="1"/>
    <xf numFmtId="49" fontId="2" fillId="5" borderId="0" xfId="0" applyNumberFormat="1" applyFont="1" applyFill="1"/>
    <xf numFmtId="49" fontId="2" fillId="6" borderId="0" xfId="0" applyNumberFormat="1" applyFont="1" applyFill="1"/>
    <xf numFmtId="10" fontId="2" fillId="3" borderId="0" xfId="1" applyNumberFormat="1" applyFont="1" applyFill="1" applyProtection="1">
      <protection locked="0"/>
    </xf>
    <xf numFmtId="10" fontId="2" fillId="0" borderId="0" xfId="1" applyNumberFormat="1" applyFont="1" applyProtection="1">
      <protection locked="0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</cellXfs>
  <cellStyles count="38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opLeftCell="B1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E40" sqref="E40"/>
    </sheetView>
  </sheetViews>
  <sheetFormatPr baseColWidth="10" defaultColWidth="11" defaultRowHeight="16" x14ac:dyDescent="0.2"/>
  <cols>
    <col min="3" max="3" width="36.33203125" bestFit="1" customWidth="1"/>
  </cols>
  <sheetData>
    <row r="1" spans="1:12" x14ac:dyDescent="0.2">
      <c r="A1" s="24"/>
      <c r="B1" s="29" t="s">
        <v>43</v>
      </c>
      <c r="C1" s="29"/>
      <c r="D1" s="29"/>
      <c r="E1" s="29"/>
      <c r="F1" s="29"/>
      <c r="G1" s="29"/>
      <c r="H1" s="29"/>
      <c r="I1" s="29"/>
      <c r="J1" s="29"/>
      <c r="K1" s="29"/>
      <c r="L1" s="20"/>
    </row>
    <row r="2" spans="1:12" x14ac:dyDescent="0.2">
      <c r="A2" s="24"/>
      <c r="B2" s="3"/>
      <c r="C2" s="3"/>
      <c r="D2" s="3"/>
      <c r="E2" s="3"/>
      <c r="F2" s="3"/>
      <c r="G2" s="3"/>
      <c r="H2" s="3"/>
      <c r="I2" s="3"/>
      <c r="J2" s="3"/>
      <c r="K2" s="1"/>
      <c r="L2" s="20"/>
    </row>
    <row r="3" spans="1:12" x14ac:dyDescent="0.2">
      <c r="A3" s="24"/>
      <c r="B3" s="4"/>
      <c r="C3" s="1"/>
      <c r="D3" s="3" t="s">
        <v>0</v>
      </c>
      <c r="E3" s="1"/>
      <c r="F3" s="1"/>
      <c r="G3" s="1"/>
      <c r="H3" s="1"/>
      <c r="I3" s="1"/>
      <c r="J3" s="1"/>
      <c r="K3" s="1"/>
      <c r="L3" s="20"/>
    </row>
    <row r="4" spans="1:12" ht="17" thickBot="1" x14ac:dyDescent="0.25">
      <c r="A4" s="24"/>
      <c r="B4" s="4"/>
      <c r="C4" s="1"/>
      <c r="D4" s="5" t="s">
        <v>1</v>
      </c>
      <c r="E4" s="30" t="s">
        <v>2</v>
      </c>
      <c r="F4" s="30"/>
      <c r="G4" s="30"/>
      <c r="H4" s="30"/>
      <c r="I4" s="30"/>
      <c r="J4" s="30"/>
      <c r="K4" s="6"/>
      <c r="L4" s="20"/>
    </row>
    <row r="5" spans="1:12" x14ac:dyDescent="0.2">
      <c r="A5" s="24"/>
      <c r="B5" s="4"/>
      <c r="C5" s="1"/>
      <c r="D5" s="7">
        <v>0</v>
      </c>
      <c r="E5" s="7">
        <v>1</v>
      </c>
      <c r="F5" s="7">
        <v>2</v>
      </c>
      <c r="G5" s="7">
        <v>3</v>
      </c>
      <c r="H5" s="7">
        <v>4</v>
      </c>
      <c r="I5" s="7">
        <v>5</v>
      </c>
      <c r="J5" s="7">
        <v>6</v>
      </c>
      <c r="K5" s="7">
        <v>7</v>
      </c>
      <c r="L5" s="21"/>
    </row>
    <row r="6" spans="1:12" x14ac:dyDescent="0.2">
      <c r="A6" s="24"/>
      <c r="B6" s="4"/>
      <c r="C6" s="1"/>
      <c r="D6" s="1"/>
      <c r="E6" s="1"/>
      <c r="F6" s="1"/>
      <c r="G6" s="1"/>
      <c r="H6" s="1"/>
      <c r="I6" s="1"/>
      <c r="J6" s="1"/>
      <c r="K6" s="1"/>
      <c r="L6" s="20"/>
    </row>
    <row r="7" spans="1:12" x14ac:dyDescent="0.2">
      <c r="A7" s="24"/>
      <c r="B7" s="4">
        <v>1</v>
      </c>
      <c r="C7" s="1" t="s">
        <v>3</v>
      </c>
      <c r="D7" s="8">
        <v>83.6</v>
      </c>
      <c r="E7" s="9"/>
      <c r="F7" s="9"/>
      <c r="G7" s="9"/>
      <c r="H7" s="9"/>
      <c r="I7" s="9"/>
      <c r="J7" s="9"/>
      <c r="K7" s="9"/>
      <c r="L7" s="22"/>
    </row>
    <row r="8" spans="1:12" x14ac:dyDescent="0.2">
      <c r="A8" s="24"/>
      <c r="B8" s="10" t="s">
        <v>4</v>
      </c>
      <c r="C8" s="1" t="s">
        <v>5</v>
      </c>
      <c r="D8" s="9">
        <v>63.1</v>
      </c>
      <c r="E8" s="9"/>
      <c r="F8" s="9"/>
      <c r="G8" s="9"/>
      <c r="H8" s="9"/>
      <c r="I8" s="9"/>
      <c r="J8" s="9"/>
      <c r="K8" s="9"/>
      <c r="L8" s="22"/>
    </row>
    <row r="9" spans="1:12" x14ac:dyDescent="0.2">
      <c r="A9" s="24"/>
      <c r="B9" s="10" t="s">
        <v>6</v>
      </c>
      <c r="C9" s="1" t="s">
        <v>7</v>
      </c>
      <c r="D9" s="9">
        <f>D7-D8</f>
        <v>20.499999999999993</v>
      </c>
      <c r="E9" s="9"/>
      <c r="F9" s="9"/>
      <c r="G9" s="9"/>
      <c r="H9" s="9"/>
      <c r="I9" s="9"/>
      <c r="J9" s="9"/>
      <c r="K9" s="9"/>
      <c r="L9" s="22"/>
    </row>
    <row r="10" spans="1:12" x14ac:dyDescent="0.2">
      <c r="A10" s="24"/>
      <c r="B10" s="10" t="s">
        <v>8</v>
      </c>
      <c r="C10" s="1" t="s">
        <v>9</v>
      </c>
      <c r="D10" s="9">
        <v>3.3</v>
      </c>
      <c r="E10" s="9"/>
      <c r="F10" s="9"/>
      <c r="G10" s="9"/>
      <c r="H10" s="9"/>
      <c r="I10" s="9"/>
      <c r="J10" s="9"/>
      <c r="K10" s="9"/>
      <c r="L10" s="22"/>
    </row>
    <row r="11" spans="1:12" x14ac:dyDescent="0.2">
      <c r="A11" s="24"/>
      <c r="B11" s="10" t="s">
        <v>10</v>
      </c>
      <c r="C11" s="1" t="s">
        <v>11</v>
      </c>
      <c r="D11" s="9">
        <f>D7-D8-D10</f>
        <v>17.199999999999992</v>
      </c>
      <c r="E11" s="9"/>
      <c r="F11" s="9"/>
      <c r="G11" s="9"/>
      <c r="H11" s="9"/>
      <c r="I11" s="9"/>
      <c r="J11" s="9"/>
      <c r="K11" s="9"/>
      <c r="L11" s="22"/>
    </row>
    <row r="12" spans="1:12" x14ac:dyDescent="0.2">
      <c r="A12" s="24"/>
      <c r="B12" s="10" t="s">
        <v>12</v>
      </c>
      <c r="C12" s="1" t="s">
        <v>13</v>
      </c>
      <c r="D12" s="9">
        <f>$D31*D11</f>
        <v>6.0199999999999969</v>
      </c>
      <c r="E12" s="9"/>
      <c r="F12" s="9"/>
      <c r="G12" s="9"/>
      <c r="H12" s="9"/>
      <c r="I12" s="9"/>
      <c r="J12" s="9"/>
      <c r="K12" s="9"/>
      <c r="L12" s="22"/>
    </row>
    <row r="13" spans="1:12" x14ac:dyDescent="0.2">
      <c r="A13" s="24"/>
      <c r="B13" s="10" t="s">
        <v>14</v>
      </c>
      <c r="C13" s="1" t="s">
        <v>15</v>
      </c>
      <c r="D13" s="9">
        <f>D11-D12</f>
        <v>11.179999999999996</v>
      </c>
      <c r="E13" s="9"/>
      <c r="F13" s="9"/>
      <c r="G13" s="9"/>
      <c r="H13" s="9"/>
      <c r="I13" s="9"/>
      <c r="J13" s="9"/>
      <c r="K13" s="9"/>
      <c r="L13" s="22"/>
    </row>
    <row r="14" spans="1:12" x14ac:dyDescent="0.2">
      <c r="A14" s="24"/>
      <c r="B14" s="10"/>
      <c r="C14" s="1"/>
      <c r="D14" s="9"/>
      <c r="E14" s="9"/>
      <c r="F14" s="9"/>
      <c r="G14" s="9"/>
      <c r="H14" s="9"/>
      <c r="I14" s="9"/>
      <c r="J14" s="9"/>
      <c r="K14" s="1"/>
      <c r="L14" s="20"/>
    </row>
    <row r="15" spans="1:12" x14ac:dyDescent="0.2">
      <c r="A15" s="24"/>
      <c r="B15" s="10" t="s">
        <v>16</v>
      </c>
      <c r="C15" s="1" t="s">
        <v>17</v>
      </c>
      <c r="D15" s="9">
        <v>11</v>
      </c>
      <c r="E15" s="9"/>
      <c r="F15" s="9"/>
      <c r="G15" s="9"/>
      <c r="H15" s="9"/>
      <c r="I15" s="9"/>
      <c r="J15" s="9"/>
      <c r="K15" s="9"/>
      <c r="L15" s="22"/>
    </row>
    <row r="16" spans="1:12" x14ac:dyDescent="0.2">
      <c r="A16" s="24"/>
      <c r="B16" s="10" t="s">
        <v>18</v>
      </c>
      <c r="C16" s="1" t="s">
        <v>19</v>
      </c>
      <c r="D16" s="9">
        <v>1</v>
      </c>
      <c r="E16" s="9"/>
      <c r="F16" s="9"/>
      <c r="G16" s="9"/>
      <c r="H16" s="9"/>
      <c r="I16" s="9"/>
      <c r="J16" s="9"/>
      <c r="K16" s="9"/>
      <c r="L16" s="22"/>
    </row>
    <row r="17" spans="1:12" x14ac:dyDescent="0.2">
      <c r="A17" s="24"/>
      <c r="B17" s="10" t="s">
        <v>20</v>
      </c>
      <c r="C17" s="1" t="s">
        <v>21</v>
      </c>
      <c r="D17" s="9">
        <f>D13+D10-D15-D16</f>
        <v>2.4799999999999969</v>
      </c>
      <c r="E17" s="9"/>
      <c r="F17" s="9"/>
      <c r="G17" s="9"/>
      <c r="H17" s="9"/>
      <c r="I17" s="9"/>
      <c r="J17" s="9"/>
      <c r="K17" s="9"/>
      <c r="L17" s="22"/>
    </row>
    <row r="18" spans="1:12" x14ac:dyDescent="0.2">
      <c r="A18" s="24"/>
      <c r="B18" s="10"/>
      <c r="C18" s="1"/>
      <c r="D18" s="9"/>
      <c r="E18" s="9"/>
      <c r="F18" s="9"/>
      <c r="G18" s="9"/>
      <c r="H18" s="9"/>
      <c r="I18" s="9"/>
      <c r="J18" s="9"/>
      <c r="K18" s="9"/>
      <c r="L18" s="22"/>
    </row>
    <row r="19" spans="1:12" x14ac:dyDescent="0.2">
      <c r="A19" s="24"/>
      <c r="B19" s="10"/>
      <c r="C19" s="2" t="s">
        <v>22</v>
      </c>
      <c r="D19" s="11"/>
      <c r="E19" s="9"/>
      <c r="F19" s="9"/>
      <c r="G19" s="9"/>
      <c r="H19" s="9"/>
      <c r="I19" s="31" t="s">
        <v>23</v>
      </c>
      <c r="J19" s="31"/>
      <c r="K19" s="31"/>
      <c r="L19" s="22"/>
    </row>
    <row r="20" spans="1:12" x14ac:dyDescent="0.2">
      <c r="A20" s="24"/>
      <c r="B20" s="10"/>
      <c r="C20" s="2" t="s">
        <v>24</v>
      </c>
      <c r="D20" s="11"/>
      <c r="E20" s="9"/>
      <c r="F20" s="9"/>
      <c r="G20" s="9"/>
      <c r="H20" s="9"/>
      <c r="I20" s="32" t="s">
        <v>44</v>
      </c>
      <c r="J20" s="33"/>
      <c r="K20" s="34"/>
      <c r="L20" s="22"/>
    </row>
    <row r="21" spans="1:12" x14ac:dyDescent="0.2">
      <c r="A21" s="24"/>
      <c r="B21" s="10"/>
      <c r="C21" s="2" t="s">
        <v>25</v>
      </c>
      <c r="D21" s="11"/>
      <c r="E21" s="9"/>
      <c r="F21" s="9"/>
      <c r="G21" s="9"/>
      <c r="H21" s="9"/>
      <c r="I21" s="9"/>
      <c r="J21" s="12"/>
      <c r="K21" s="9"/>
      <c r="L21" s="22"/>
    </row>
    <row r="22" spans="1:12" x14ac:dyDescent="0.2">
      <c r="A22" s="24"/>
      <c r="B22" s="10"/>
      <c r="C22" s="1"/>
      <c r="D22" s="9"/>
      <c r="E22" s="9"/>
      <c r="F22" s="9"/>
      <c r="G22" s="9"/>
      <c r="H22" s="9"/>
      <c r="I22" s="9"/>
      <c r="J22" s="12"/>
      <c r="K22" s="9"/>
      <c r="L22" s="22"/>
    </row>
    <row r="23" spans="1:12" x14ac:dyDescent="0.2">
      <c r="A23" s="24"/>
      <c r="B23" s="10"/>
      <c r="C23" s="2" t="s">
        <v>26</v>
      </c>
      <c r="D23" s="9"/>
      <c r="E23" s="9"/>
      <c r="F23" s="9"/>
      <c r="G23" s="9"/>
      <c r="H23" s="9"/>
      <c r="I23" s="9"/>
      <c r="J23" s="12"/>
      <c r="K23" s="9"/>
      <c r="L23" s="22"/>
    </row>
    <row r="24" spans="1:12" x14ac:dyDescent="0.2">
      <c r="A24" s="24"/>
      <c r="B24" s="10"/>
      <c r="C24" s="1" t="s">
        <v>27</v>
      </c>
      <c r="D24" s="9">
        <v>6.7</v>
      </c>
      <c r="E24" s="18">
        <v>7.0000000000000007E-2</v>
      </c>
      <c r="F24" s="18">
        <v>7.0000000000000007E-2</v>
      </c>
      <c r="G24" s="18">
        <v>7.0000000000000007E-2</v>
      </c>
      <c r="H24" s="18">
        <v>0.04</v>
      </c>
      <c r="I24" s="18">
        <v>0.04</v>
      </c>
      <c r="J24" s="18">
        <v>0.04</v>
      </c>
      <c r="K24" s="18">
        <v>0.03</v>
      </c>
      <c r="L24" s="23"/>
    </row>
    <row r="25" spans="1:12" x14ac:dyDescent="0.2">
      <c r="A25" s="24"/>
      <c r="B25" s="10"/>
      <c r="C25" s="1" t="s">
        <v>28</v>
      </c>
      <c r="D25" s="9">
        <v>75.5</v>
      </c>
      <c r="E25" s="18">
        <v>0.74</v>
      </c>
      <c r="F25" s="18">
        <v>0.745</v>
      </c>
      <c r="G25" s="18">
        <v>0.745</v>
      </c>
      <c r="H25" s="18">
        <v>0.75</v>
      </c>
      <c r="I25" s="18">
        <v>0.75</v>
      </c>
      <c r="J25" s="18">
        <v>0.755</v>
      </c>
      <c r="K25" s="18">
        <v>0.76</v>
      </c>
      <c r="L25" s="23"/>
    </row>
    <row r="26" spans="1:12" x14ac:dyDescent="0.2">
      <c r="A26" s="24"/>
      <c r="B26" s="10"/>
      <c r="C26" s="1" t="s">
        <v>29</v>
      </c>
      <c r="D26" s="9">
        <v>13.3</v>
      </c>
      <c r="E26" s="18">
        <v>0.13</v>
      </c>
      <c r="F26" s="18">
        <v>0.13</v>
      </c>
      <c r="G26" s="18">
        <v>0.13</v>
      </c>
      <c r="H26" s="18">
        <v>0.13</v>
      </c>
      <c r="I26" s="18">
        <v>0.13</v>
      </c>
      <c r="J26" s="18">
        <v>0.13</v>
      </c>
      <c r="K26" s="18">
        <v>0.13</v>
      </c>
      <c r="L26" s="23"/>
    </row>
    <row r="27" spans="1:12" x14ac:dyDescent="0.2">
      <c r="A27" s="24"/>
      <c r="B27" s="10"/>
      <c r="C27" s="1" t="s">
        <v>30</v>
      </c>
      <c r="D27" s="9">
        <v>79.2</v>
      </c>
      <c r="E27" s="18">
        <v>0.79</v>
      </c>
      <c r="F27" s="18">
        <v>0.79</v>
      </c>
      <c r="G27" s="18">
        <v>0.79</v>
      </c>
      <c r="H27" s="18">
        <v>0.79</v>
      </c>
      <c r="I27" s="18">
        <v>0.79</v>
      </c>
      <c r="J27" s="18">
        <v>0.79</v>
      </c>
      <c r="K27" s="18">
        <v>0.79</v>
      </c>
      <c r="L27" s="23"/>
    </row>
    <row r="28" spans="1:12" x14ac:dyDescent="0.2">
      <c r="A28" s="24"/>
      <c r="B28" s="10"/>
      <c r="C28" s="1" t="s">
        <v>31</v>
      </c>
      <c r="D28" s="9">
        <v>5</v>
      </c>
      <c r="E28" s="18">
        <v>0.14000000000000001</v>
      </c>
      <c r="F28" s="18">
        <v>0.14000000000000001</v>
      </c>
      <c r="G28" s="18">
        <v>0.14000000000000001</v>
      </c>
      <c r="H28" s="18">
        <v>0.14000000000000001</v>
      </c>
      <c r="I28" s="18">
        <v>0.14000000000000001</v>
      </c>
      <c r="J28" s="18">
        <v>0.14000000000000001</v>
      </c>
      <c r="K28" s="18">
        <v>0.14000000000000001</v>
      </c>
      <c r="L28" s="23"/>
    </row>
    <row r="29" spans="1:12" x14ac:dyDescent="0.2">
      <c r="A29" s="24"/>
      <c r="B29" s="10"/>
      <c r="C29" s="1"/>
      <c r="D29" s="9"/>
      <c r="E29" s="9"/>
      <c r="F29" s="9"/>
      <c r="G29" s="9"/>
      <c r="H29" s="9"/>
      <c r="I29" s="9"/>
      <c r="J29" s="9"/>
      <c r="K29" s="9"/>
      <c r="L29" s="23"/>
    </row>
    <row r="30" spans="1:12" x14ac:dyDescent="0.2">
      <c r="A30" s="24"/>
      <c r="B30" s="10"/>
      <c r="C30" s="9"/>
      <c r="D30" s="9"/>
      <c r="E30" s="9"/>
      <c r="F30" s="9"/>
      <c r="G30" s="9"/>
      <c r="H30" s="9"/>
      <c r="I30" s="9"/>
      <c r="J30" s="9"/>
      <c r="K30" s="9"/>
      <c r="L30" s="23"/>
    </row>
    <row r="31" spans="1:12" x14ac:dyDescent="0.2">
      <c r="A31" s="24"/>
      <c r="B31" s="10"/>
      <c r="C31" s="1" t="s">
        <v>32</v>
      </c>
      <c r="D31" s="17">
        <v>0.35</v>
      </c>
      <c r="E31" s="9"/>
      <c r="F31" s="9"/>
      <c r="G31" s="9"/>
      <c r="H31" s="9"/>
      <c r="I31" s="9"/>
      <c r="J31" s="9"/>
      <c r="K31" s="9"/>
      <c r="L31" s="23"/>
    </row>
    <row r="32" spans="1:12" x14ac:dyDescent="0.2">
      <c r="A32" s="24"/>
      <c r="B32" s="10"/>
      <c r="C32" s="1" t="s">
        <v>33</v>
      </c>
      <c r="D32" s="8">
        <v>6</v>
      </c>
      <c r="E32" s="9"/>
      <c r="F32" s="9"/>
      <c r="G32" s="9"/>
      <c r="H32" s="9"/>
      <c r="I32" s="9"/>
      <c r="J32" s="9"/>
      <c r="K32" s="9"/>
      <c r="L32" s="23"/>
    </row>
    <row r="33" spans="1:12" x14ac:dyDescent="0.2">
      <c r="A33" s="24"/>
      <c r="B33" s="10"/>
      <c r="C33" s="1" t="s">
        <v>34</v>
      </c>
      <c r="D33" s="8">
        <v>12.4</v>
      </c>
      <c r="E33" s="9"/>
      <c r="F33" s="9"/>
      <c r="G33" s="9"/>
      <c r="H33" s="9"/>
      <c r="I33" s="9"/>
      <c r="J33" s="9"/>
      <c r="K33" s="9"/>
      <c r="L33" s="23"/>
    </row>
    <row r="34" spans="1:12" x14ac:dyDescent="0.2">
      <c r="A34" s="24"/>
      <c r="B34" s="10"/>
      <c r="C34" s="1" t="s">
        <v>35</v>
      </c>
      <c r="D34" s="8">
        <v>0.4</v>
      </c>
      <c r="E34" s="9"/>
      <c r="F34" s="9"/>
      <c r="G34" s="9"/>
      <c r="H34" s="9"/>
      <c r="I34" s="9"/>
      <c r="J34" s="9"/>
      <c r="K34" s="9"/>
      <c r="L34" s="23"/>
    </row>
    <row r="35" spans="1:12" x14ac:dyDescent="0.2">
      <c r="A35" s="24"/>
      <c r="B35" s="10"/>
      <c r="C35" s="1" t="s">
        <v>36</v>
      </c>
      <c r="D35" s="19"/>
      <c r="E35" s="9"/>
      <c r="F35" s="9"/>
      <c r="G35" s="9"/>
      <c r="H35" s="9"/>
      <c r="I35" s="9"/>
      <c r="J35" s="9"/>
      <c r="K35" s="9"/>
      <c r="L35" s="23"/>
    </row>
    <row r="36" spans="1:12" x14ac:dyDescent="0.2">
      <c r="A36" s="24"/>
      <c r="B36" s="10"/>
      <c r="C36" s="1" t="s">
        <v>37</v>
      </c>
      <c r="D36" s="17">
        <v>0.03</v>
      </c>
      <c r="E36" s="9"/>
      <c r="F36" s="9"/>
      <c r="G36" s="9"/>
      <c r="H36" s="9"/>
      <c r="I36" s="9"/>
      <c r="J36" s="9"/>
      <c r="K36" s="9"/>
      <c r="L36" s="23"/>
    </row>
    <row r="37" spans="1:12" x14ac:dyDescent="0.2">
      <c r="A37" s="24"/>
      <c r="B37" s="10"/>
      <c r="C37" s="1"/>
      <c r="D37" s="14"/>
      <c r="E37" s="9"/>
      <c r="F37" s="9"/>
      <c r="G37" s="9"/>
      <c r="H37" s="9"/>
      <c r="I37" s="9"/>
      <c r="J37" s="9"/>
      <c r="K37" s="9"/>
      <c r="L37" s="23"/>
    </row>
    <row r="38" spans="1:12" x14ac:dyDescent="0.2">
      <c r="A38" s="24"/>
      <c r="B38" s="10"/>
      <c r="C38" s="2" t="s">
        <v>38</v>
      </c>
      <c r="D38" s="14"/>
      <c r="E38" s="13"/>
      <c r="F38" s="13"/>
      <c r="G38" s="13"/>
      <c r="H38" s="13"/>
      <c r="I38" s="13"/>
      <c r="J38" s="13"/>
      <c r="K38" s="13"/>
      <c r="L38" s="22"/>
    </row>
    <row r="39" spans="1:12" x14ac:dyDescent="0.2">
      <c r="A39" s="24"/>
      <c r="B39" s="15"/>
      <c r="C39" s="1" t="s">
        <v>39</v>
      </c>
      <c r="D39" s="13">
        <f>D40+D41</f>
        <v>95</v>
      </c>
      <c r="E39" s="13"/>
      <c r="F39" s="13"/>
      <c r="G39" s="13"/>
      <c r="H39" s="13"/>
      <c r="I39" s="13"/>
      <c r="J39" s="13"/>
      <c r="K39" s="13"/>
      <c r="L39" s="22"/>
    </row>
    <row r="40" spans="1:12" x14ac:dyDescent="0.2">
      <c r="A40" s="24"/>
      <c r="B40" s="15"/>
      <c r="C40" s="16" t="s">
        <v>40</v>
      </c>
      <c r="D40" s="13">
        <v>29</v>
      </c>
      <c r="E40" s="13"/>
      <c r="F40" s="13"/>
      <c r="G40" s="13"/>
      <c r="H40" s="13"/>
      <c r="I40" s="13"/>
      <c r="J40" s="13"/>
      <c r="K40" s="13"/>
      <c r="L40" s="22"/>
    </row>
    <row r="41" spans="1:12" x14ac:dyDescent="0.2">
      <c r="A41" s="24"/>
      <c r="B41" s="15"/>
      <c r="C41" s="1" t="s">
        <v>41</v>
      </c>
      <c r="D41" s="13">
        <v>66</v>
      </c>
      <c r="E41" s="13"/>
      <c r="F41" s="13"/>
      <c r="G41" s="13"/>
      <c r="H41" s="13"/>
      <c r="I41" s="13"/>
      <c r="J41" s="13"/>
      <c r="K41" s="13"/>
      <c r="L41" s="22"/>
    </row>
    <row r="42" spans="1:12" x14ac:dyDescent="0.2">
      <c r="A42" s="24"/>
      <c r="B42" s="15"/>
      <c r="C42" s="1" t="s">
        <v>42</v>
      </c>
      <c r="D42" s="13">
        <v>11.1</v>
      </c>
      <c r="E42" s="1"/>
      <c r="F42" s="1"/>
      <c r="G42" s="1"/>
      <c r="H42" s="1"/>
      <c r="I42" s="1"/>
      <c r="J42" s="1"/>
      <c r="K42" s="1"/>
      <c r="L42" s="20"/>
    </row>
    <row r="43" spans="1:12" x14ac:dyDescent="0.2">
      <c r="A43" s="24"/>
      <c r="B43" s="26"/>
      <c r="C43" s="24"/>
      <c r="D43" s="24"/>
      <c r="E43" s="24"/>
      <c r="F43" s="24"/>
      <c r="G43" s="24"/>
      <c r="H43" s="24"/>
      <c r="I43" s="24"/>
      <c r="J43" s="24"/>
      <c r="K43" s="24"/>
      <c r="L43" s="24"/>
    </row>
  </sheetData>
  <mergeCells count="4">
    <mergeCell ref="B1:K1"/>
    <mergeCell ref="E4:J4"/>
    <mergeCell ref="I19:K19"/>
    <mergeCell ref="I20:K2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tabSelected="1" topLeftCell="A2" zoomScale="125" workbookViewId="0">
      <selection activeCell="D12" sqref="D12"/>
    </sheetView>
  </sheetViews>
  <sheetFormatPr baseColWidth="10" defaultColWidth="11" defaultRowHeight="16" x14ac:dyDescent="0.2"/>
  <cols>
    <col min="3" max="3" width="36.33203125" bestFit="1" customWidth="1"/>
  </cols>
  <sheetData>
    <row r="1" spans="1:12" x14ac:dyDescent="0.2">
      <c r="A1" s="24"/>
      <c r="B1" s="29" t="s">
        <v>43</v>
      </c>
      <c r="C1" s="29"/>
      <c r="D1" s="29"/>
      <c r="E1" s="29"/>
      <c r="F1" s="29"/>
      <c r="G1" s="29"/>
      <c r="H1" s="29"/>
      <c r="I1" s="29"/>
      <c r="J1" s="29"/>
      <c r="K1" s="29"/>
      <c r="L1" s="20"/>
    </row>
    <row r="2" spans="1:12" x14ac:dyDescent="0.2">
      <c r="A2" s="24"/>
      <c r="B2" s="3"/>
      <c r="C2" s="3"/>
      <c r="D2" s="3"/>
      <c r="E2" s="3"/>
      <c r="F2" s="3"/>
      <c r="G2" s="3"/>
      <c r="H2" s="3"/>
      <c r="I2" s="3"/>
      <c r="J2" s="3"/>
      <c r="K2" s="1"/>
      <c r="L2" s="20"/>
    </row>
    <row r="3" spans="1:12" x14ac:dyDescent="0.2">
      <c r="A3" s="24"/>
      <c r="B3" s="4"/>
      <c r="C3" s="1"/>
      <c r="D3" s="3" t="s">
        <v>0</v>
      </c>
      <c r="E3" s="1"/>
      <c r="F3" s="1"/>
      <c r="G3" s="1"/>
      <c r="H3" s="1"/>
      <c r="I3" s="1"/>
      <c r="J3" s="1"/>
      <c r="K3" s="1"/>
      <c r="L3" s="20"/>
    </row>
    <row r="4" spans="1:12" ht="17" thickBot="1" x14ac:dyDescent="0.25">
      <c r="A4" s="24"/>
      <c r="B4" s="4"/>
      <c r="C4" s="1"/>
      <c r="D4" s="5" t="s">
        <v>1</v>
      </c>
      <c r="E4" s="30" t="s">
        <v>2</v>
      </c>
      <c r="F4" s="30"/>
      <c r="G4" s="30"/>
      <c r="H4" s="30"/>
      <c r="I4" s="30"/>
      <c r="J4" s="30"/>
      <c r="K4" s="6"/>
      <c r="L4" s="20"/>
    </row>
    <row r="5" spans="1:12" x14ac:dyDescent="0.2">
      <c r="A5" s="24"/>
      <c r="B5" s="4"/>
      <c r="C5" s="1"/>
      <c r="D5" s="7">
        <v>0</v>
      </c>
      <c r="E5" s="7">
        <v>1</v>
      </c>
      <c r="F5" s="7">
        <v>2</v>
      </c>
      <c r="G5" s="7">
        <v>3</v>
      </c>
      <c r="H5" s="7">
        <v>4</v>
      </c>
      <c r="I5" s="7">
        <v>5</v>
      </c>
      <c r="J5" s="7">
        <v>6</v>
      </c>
      <c r="K5" s="7">
        <v>7</v>
      </c>
      <c r="L5" s="21"/>
    </row>
    <row r="6" spans="1:12" x14ac:dyDescent="0.2">
      <c r="A6" s="24"/>
      <c r="B6" s="4"/>
      <c r="C6" s="1"/>
      <c r="D6" s="1"/>
      <c r="E6" s="1"/>
      <c r="F6" s="1"/>
      <c r="G6" s="1"/>
      <c r="H6" s="1"/>
      <c r="I6" s="1"/>
      <c r="J6" s="1"/>
      <c r="K6" s="1"/>
      <c r="L6" s="20"/>
    </row>
    <row r="7" spans="1:12" x14ac:dyDescent="0.2">
      <c r="A7" s="24"/>
      <c r="B7" s="4">
        <v>1</v>
      </c>
      <c r="C7" s="1" t="s">
        <v>3</v>
      </c>
      <c r="D7" s="8">
        <v>83.6</v>
      </c>
      <c r="E7" s="9">
        <f>D$7*(1+E24)</f>
        <v>89.451999999999998</v>
      </c>
      <c r="F7" s="9">
        <f t="shared" ref="F7:K7" si="0">E$7*(1+F24)</f>
        <v>95.713639999999998</v>
      </c>
      <c r="G7" s="9">
        <f t="shared" si="0"/>
        <v>102.4135948</v>
      </c>
      <c r="H7" s="9">
        <f t="shared" si="0"/>
        <v>106.510138592</v>
      </c>
      <c r="I7" s="9">
        <f t="shared" si="0"/>
        <v>110.77054413568001</v>
      </c>
      <c r="J7" s="9">
        <f t="shared" si="0"/>
        <v>115.20136590110722</v>
      </c>
      <c r="K7" s="9">
        <f t="shared" si="0"/>
        <v>118.65740687814045</v>
      </c>
      <c r="L7" s="22"/>
    </row>
    <row r="8" spans="1:12" x14ac:dyDescent="0.2">
      <c r="A8" s="24"/>
      <c r="B8" s="10" t="s">
        <v>4</v>
      </c>
      <c r="C8" s="1" t="s">
        <v>5</v>
      </c>
      <c r="D8" s="9">
        <v>63.1</v>
      </c>
      <c r="E8" s="9">
        <f>E7*(E25)</f>
        <v>66.194479999999999</v>
      </c>
      <c r="F8" s="9">
        <f t="shared" ref="F8:K8" si="1">F7*(F25)</f>
        <v>71.306661800000001</v>
      </c>
      <c r="G8" s="9">
        <f t="shared" si="1"/>
        <v>76.298128125999995</v>
      </c>
      <c r="H8" s="9">
        <f t="shared" si="1"/>
        <v>79.88260394400001</v>
      </c>
      <c r="I8" s="9">
        <f t="shared" si="1"/>
        <v>83.077908101760016</v>
      </c>
      <c r="J8" s="9">
        <f t="shared" si="1"/>
        <v>86.977031255335959</v>
      </c>
      <c r="K8" s="9">
        <f t="shared" si="1"/>
        <v>90.179629227386741</v>
      </c>
      <c r="L8" s="22"/>
    </row>
    <row r="9" spans="1:12" x14ac:dyDescent="0.2">
      <c r="A9" s="24"/>
      <c r="B9" s="10" t="s">
        <v>6</v>
      </c>
      <c r="C9" s="1" t="s">
        <v>7</v>
      </c>
      <c r="D9" s="9">
        <f>D7-D8</f>
        <v>20.499999999999993</v>
      </c>
      <c r="E9" s="9">
        <f>E7-E8</f>
        <v>23.25752</v>
      </c>
      <c r="F9" s="9">
        <f t="shared" ref="F9:K9" si="2">F7-F8</f>
        <v>24.406978199999998</v>
      </c>
      <c r="G9" s="9">
        <f t="shared" si="2"/>
        <v>26.115466674000004</v>
      </c>
      <c r="H9" s="9">
        <f t="shared" si="2"/>
        <v>26.627534647999994</v>
      </c>
      <c r="I9" s="9">
        <f t="shared" si="2"/>
        <v>27.692636033919996</v>
      </c>
      <c r="J9" s="9">
        <f t="shared" si="2"/>
        <v>28.224334645771265</v>
      </c>
      <c r="K9" s="9">
        <f t="shared" si="2"/>
        <v>28.477777650753708</v>
      </c>
      <c r="L9" s="22"/>
    </row>
    <row r="10" spans="1:12" x14ac:dyDescent="0.2">
      <c r="A10" s="24"/>
      <c r="B10" s="10" t="s">
        <v>8</v>
      </c>
      <c r="C10" s="1" t="s">
        <v>9</v>
      </c>
      <c r="D10" s="9">
        <v>3.3</v>
      </c>
      <c r="E10" s="9">
        <f t="shared" ref="E10:K10" si="3">E28*E41</f>
        <v>9.8933911999999999</v>
      </c>
      <c r="F10" s="9">
        <f t="shared" si="3"/>
        <v>10.585928584000001</v>
      </c>
      <c r="G10" s="9">
        <f t="shared" si="3"/>
        <v>11.326943584880002</v>
      </c>
      <c r="H10" s="9">
        <f t="shared" si="3"/>
        <v>11.780021328275202</v>
      </c>
      <c r="I10" s="9">
        <f t="shared" si="3"/>
        <v>12.251222181406211</v>
      </c>
      <c r="J10" s="9">
        <f t="shared" si="3"/>
        <v>12.741271068662462</v>
      </c>
      <c r="K10" s="9">
        <f t="shared" si="3"/>
        <v>13.123509200722335</v>
      </c>
      <c r="L10" s="22"/>
    </row>
    <row r="11" spans="1:12" x14ac:dyDescent="0.2">
      <c r="A11" s="24"/>
      <c r="B11" s="10" t="s">
        <v>10</v>
      </c>
      <c r="C11" s="1" t="s">
        <v>11</v>
      </c>
      <c r="D11" s="9">
        <f>D7-D8-D10</f>
        <v>17.199999999999992</v>
      </c>
      <c r="E11" s="9">
        <f>E9-E10</f>
        <v>13.3641288</v>
      </c>
      <c r="F11" s="9">
        <f t="shared" ref="F11:K11" si="4">F9-F10</f>
        <v>13.821049615999996</v>
      </c>
      <c r="G11" s="9">
        <f t="shared" si="4"/>
        <v>14.788523089120002</v>
      </c>
      <c r="H11" s="9">
        <f t="shared" si="4"/>
        <v>14.847513319724792</v>
      </c>
      <c r="I11" s="9">
        <f t="shared" si="4"/>
        <v>15.441413852513785</v>
      </c>
      <c r="J11" s="9">
        <f t="shared" si="4"/>
        <v>15.483063577108803</v>
      </c>
      <c r="K11" s="9">
        <f t="shared" si="4"/>
        <v>15.354268450031373</v>
      </c>
      <c r="L11" s="22"/>
    </row>
    <row r="12" spans="1:12" x14ac:dyDescent="0.2">
      <c r="A12" s="24"/>
      <c r="B12" s="10" t="s">
        <v>12</v>
      </c>
      <c r="C12" s="1" t="s">
        <v>13</v>
      </c>
      <c r="D12" s="9">
        <f>$D31*D11</f>
        <v>6.0199999999999969</v>
      </c>
      <c r="E12" s="9">
        <f t="shared" ref="E12:K12" si="5">$D$31*E11</f>
        <v>4.6774450799999991</v>
      </c>
      <c r="F12" s="9">
        <f t="shared" si="5"/>
        <v>4.8373673655999987</v>
      </c>
      <c r="G12" s="9">
        <f t="shared" si="5"/>
        <v>5.1759830811920002</v>
      </c>
      <c r="H12" s="9">
        <f t="shared" si="5"/>
        <v>5.1966296619036765</v>
      </c>
      <c r="I12" s="9">
        <f t="shared" si="5"/>
        <v>5.4044948483798247</v>
      </c>
      <c r="J12" s="9">
        <f t="shared" si="5"/>
        <v>5.419072251988081</v>
      </c>
      <c r="K12" s="9">
        <f t="shared" si="5"/>
        <v>5.3739939575109803</v>
      </c>
      <c r="L12" s="22"/>
    </row>
    <row r="13" spans="1:12" x14ac:dyDescent="0.2">
      <c r="A13" s="24"/>
      <c r="B13" s="10" t="s">
        <v>14</v>
      </c>
      <c r="C13" s="1" t="s">
        <v>15</v>
      </c>
      <c r="D13" s="9">
        <f>D11-D12</f>
        <v>11.179999999999996</v>
      </c>
      <c r="E13" s="9">
        <f>E11-E12</f>
        <v>8.6866837200000013</v>
      </c>
      <c r="F13" s="9">
        <f t="shared" ref="F13:K13" si="6">F11-F12</f>
        <v>8.9836822503999976</v>
      </c>
      <c r="G13" s="9">
        <f t="shared" si="6"/>
        <v>9.6125400079280006</v>
      </c>
      <c r="H13" s="9">
        <f t="shared" si="6"/>
        <v>9.6508836578211152</v>
      </c>
      <c r="I13" s="9">
        <f t="shared" si="6"/>
        <v>10.03691900413396</v>
      </c>
      <c r="J13" s="9">
        <f t="shared" si="6"/>
        <v>10.063991325120721</v>
      </c>
      <c r="K13" s="9">
        <f t="shared" si="6"/>
        <v>9.9802744925203939</v>
      </c>
      <c r="L13" s="22"/>
    </row>
    <row r="14" spans="1:12" x14ac:dyDescent="0.2">
      <c r="A14" s="24"/>
      <c r="B14" s="10"/>
      <c r="C14" s="1"/>
      <c r="D14" s="9"/>
      <c r="E14" s="9"/>
      <c r="F14" s="9"/>
      <c r="G14" s="9"/>
      <c r="H14" s="9"/>
      <c r="I14" s="9"/>
      <c r="J14" s="9"/>
      <c r="K14" s="1"/>
      <c r="L14" s="20"/>
    </row>
    <row r="15" spans="1:12" x14ac:dyDescent="0.2">
      <c r="A15" s="24"/>
      <c r="B15" s="10" t="s">
        <v>16</v>
      </c>
      <c r="C15" s="1" t="s">
        <v>17</v>
      </c>
      <c r="D15" s="9">
        <v>11</v>
      </c>
      <c r="E15" s="9">
        <f>E39-D39</f>
        <v>14.560471199999995</v>
      </c>
      <c r="F15" s="9">
        <f t="shared" ref="F15:K15" si="7">F39-E39</f>
        <v>15.532624183999999</v>
      </c>
      <c r="G15" s="9">
        <f t="shared" si="7"/>
        <v>16.619907876879992</v>
      </c>
      <c r="H15" s="9">
        <f t="shared" si="7"/>
        <v>15.016290923955211</v>
      </c>
      <c r="I15" s="9">
        <f t="shared" si="7"/>
        <v>15.616942560913429</v>
      </c>
      <c r="J15" s="9">
        <f t="shared" si="7"/>
        <v>16.241620263349944</v>
      </c>
      <c r="K15" s="9">
        <f t="shared" si="7"/>
        <v>15.853781572578583</v>
      </c>
      <c r="L15" s="22"/>
    </row>
    <row r="16" spans="1:12" x14ac:dyDescent="0.2">
      <c r="A16" s="24"/>
      <c r="B16" s="10" t="s">
        <v>18</v>
      </c>
      <c r="C16" s="1" t="s">
        <v>19</v>
      </c>
      <c r="D16" s="9">
        <v>1</v>
      </c>
      <c r="E16" s="9">
        <f>E42-D42</f>
        <v>0.52876000000000012</v>
      </c>
      <c r="F16" s="9">
        <f t="shared" ref="F16:K16" si="8">F42-E42</f>
        <v>0.81401319999999977</v>
      </c>
      <c r="G16" s="9">
        <f t="shared" si="8"/>
        <v>0.87099412400000098</v>
      </c>
      <c r="H16" s="9">
        <f t="shared" si="8"/>
        <v>0.53255069296000102</v>
      </c>
      <c r="I16" s="9">
        <f t="shared" si="8"/>
        <v>0.55385272067840141</v>
      </c>
      <c r="J16" s="9">
        <f t="shared" si="8"/>
        <v>0.57600682950553583</v>
      </c>
      <c r="K16" s="9">
        <f t="shared" si="8"/>
        <v>0.44928532701431934</v>
      </c>
      <c r="L16" s="22"/>
    </row>
    <row r="17" spans="1:12" x14ac:dyDescent="0.2">
      <c r="A17" s="24"/>
      <c r="B17" s="10" t="s">
        <v>20</v>
      </c>
      <c r="C17" s="1" t="s">
        <v>21</v>
      </c>
      <c r="D17" s="9">
        <f>D13+D10-D15-D16</f>
        <v>2.4799999999999969</v>
      </c>
      <c r="E17" s="9">
        <f>E13+E10-E15-E16</f>
        <v>3.4908437200000062</v>
      </c>
      <c r="F17" s="9">
        <f t="shared" ref="F17:K17" si="9">F13+F10-F15-F16</f>
        <v>3.2229734503999996</v>
      </c>
      <c r="G17" s="9">
        <f t="shared" si="9"/>
        <v>3.4485815919280096</v>
      </c>
      <c r="H17" s="9">
        <f t="shared" si="9"/>
        <v>5.882063369181104</v>
      </c>
      <c r="I17" s="9">
        <f t="shared" si="9"/>
        <v>6.1173459039483387</v>
      </c>
      <c r="J17" s="9">
        <f t="shared" si="9"/>
        <v>5.9876353009277015</v>
      </c>
      <c r="K17" s="9">
        <f t="shared" si="9"/>
        <v>6.8007167936498263</v>
      </c>
      <c r="L17" s="22"/>
    </row>
    <row r="18" spans="1:12" x14ac:dyDescent="0.2">
      <c r="A18" s="24"/>
      <c r="B18" s="10"/>
      <c r="C18" s="1"/>
      <c r="D18" s="9"/>
      <c r="E18" s="9"/>
      <c r="F18" s="9"/>
      <c r="G18" s="9"/>
      <c r="H18" s="9"/>
      <c r="I18" s="9"/>
      <c r="J18" s="9"/>
      <c r="K18" s="9"/>
      <c r="L18" s="22"/>
    </row>
    <row r="19" spans="1:12" x14ac:dyDescent="0.2">
      <c r="A19" s="24"/>
      <c r="B19" s="10"/>
      <c r="C19" s="2" t="s">
        <v>22</v>
      </c>
      <c r="D19" s="11">
        <f>NPV(D35,E17:J17)</f>
        <v>20.291347307234087</v>
      </c>
      <c r="E19" s="9"/>
      <c r="F19" s="9"/>
      <c r="G19" s="9"/>
      <c r="H19" s="9"/>
      <c r="I19" s="35" t="s">
        <v>23</v>
      </c>
      <c r="J19" s="35"/>
      <c r="K19" s="35"/>
      <c r="L19" s="22"/>
    </row>
    <row r="20" spans="1:12" x14ac:dyDescent="0.2">
      <c r="A20" s="24"/>
      <c r="B20" s="10"/>
      <c r="C20" s="2" t="s">
        <v>24</v>
      </c>
      <c r="D20" s="11">
        <f>I20/(1+D35)^6</f>
        <v>67.584087056869564</v>
      </c>
      <c r="E20" s="9"/>
      <c r="F20" s="9"/>
      <c r="G20" s="9"/>
      <c r="H20" s="9"/>
      <c r="I20" s="32">
        <f>K17/(D35-D36)</f>
        <v>113.34527989416378</v>
      </c>
      <c r="J20" s="33"/>
      <c r="K20" s="34"/>
      <c r="L20" s="22"/>
    </row>
    <row r="21" spans="1:12" x14ac:dyDescent="0.2">
      <c r="A21" s="24"/>
      <c r="B21" s="10"/>
      <c r="C21" s="2" t="s">
        <v>25</v>
      </c>
      <c r="D21" s="11">
        <f>SUM(D19:D20)</f>
        <v>87.875434364103654</v>
      </c>
      <c r="E21" s="9"/>
      <c r="F21" s="9"/>
      <c r="G21" s="9"/>
      <c r="H21" s="9"/>
      <c r="I21" s="9"/>
      <c r="J21" s="12"/>
      <c r="K21" s="9"/>
      <c r="L21" s="22"/>
    </row>
    <row r="22" spans="1:12" x14ac:dyDescent="0.2">
      <c r="A22" s="24"/>
      <c r="B22" s="10"/>
      <c r="C22" s="1"/>
      <c r="D22" s="9"/>
      <c r="E22" s="9"/>
      <c r="F22" s="9"/>
      <c r="G22" s="9"/>
      <c r="H22" s="9"/>
      <c r="I22" s="9"/>
      <c r="J22" s="12"/>
      <c r="K22" s="9"/>
      <c r="L22" s="22"/>
    </row>
    <row r="23" spans="1:12" x14ac:dyDescent="0.2">
      <c r="A23" s="24"/>
      <c r="B23" s="10"/>
      <c r="C23" s="2" t="s">
        <v>26</v>
      </c>
      <c r="D23" s="9"/>
      <c r="E23" s="9"/>
      <c r="F23" s="9"/>
      <c r="G23" s="9"/>
      <c r="H23" s="9"/>
      <c r="I23" s="9"/>
      <c r="J23" s="12"/>
      <c r="K23" s="9"/>
      <c r="L23" s="22"/>
    </row>
    <row r="24" spans="1:12" x14ac:dyDescent="0.2">
      <c r="A24" s="24"/>
      <c r="B24" s="10"/>
      <c r="C24" s="1" t="s">
        <v>27</v>
      </c>
      <c r="D24" s="9">
        <v>6.7</v>
      </c>
      <c r="E24" s="18">
        <v>7.0000000000000007E-2</v>
      </c>
      <c r="F24" s="18">
        <v>7.0000000000000007E-2</v>
      </c>
      <c r="G24" s="18">
        <v>7.0000000000000007E-2</v>
      </c>
      <c r="H24" s="18">
        <v>0.04</v>
      </c>
      <c r="I24" s="18">
        <v>0.04</v>
      </c>
      <c r="J24" s="18">
        <v>0.04</v>
      </c>
      <c r="K24" s="18">
        <v>0.03</v>
      </c>
      <c r="L24" s="23"/>
    </row>
    <row r="25" spans="1:12" x14ac:dyDescent="0.2">
      <c r="A25" s="24"/>
      <c r="B25" s="10"/>
      <c r="C25" s="1" t="s">
        <v>28</v>
      </c>
      <c r="D25" s="9">
        <v>75.5</v>
      </c>
      <c r="E25" s="18">
        <v>0.74</v>
      </c>
      <c r="F25" s="18">
        <v>0.745</v>
      </c>
      <c r="G25" s="18">
        <v>0.745</v>
      </c>
      <c r="H25" s="18">
        <v>0.75</v>
      </c>
      <c r="I25" s="18">
        <v>0.75</v>
      </c>
      <c r="J25" s="18">
        <v>0.755</v>
      </c>
      <c r="K25" s="18">
        <v>0.76</v>
      </c>
      <c r="L25" s="23"/>
    </row>
    <row r="26" spans="1:12" x14ac:dyDescent="0.2">
      <c r="A26" s="24"/>
      <c r="B26" s="10"/>
      <c r="C26" s="1" t="s">
        <v>29</v>
      </c>
      <c r="D26" s="9">
        <v>13.3</v>
      </c>
      <c r="E26" s="18">
        <v>0.13</v>
      </c>
      <c r="F26" s="18">
        <v>0.13</v>
      </c>
      <c r="G26" s="18">
        <v>0.13</v>
      </c>
      <c r="H26" s="18">
        <v>0.13</v>
      </c>
      <c r="I26" s="18">
        <v>0.13</v>
      </c>
      <c r="J26" s="18">
        <v>0.13</v>
      </c>
      <c r="K26" s="18">
        <v>0.13</v>
      </c>
      <c r="L26" s="23"/>
    </row>
    <row r="27" spans="1:12" x14ac:dyDescent="0.2">
      <c r="A27" s="24"/>
      <c r="B27" s="10"/>
      <c r="C27" s="1" t="s">
        <v>30</v>
      </c>
      <c r="D27" s="9">
        <v>79.2</v>
      </c>
      <c r="E27" s="18">
        <v>0.79</v>
      </c>
      <c r="F27" s="18">
        <v>0.79</v>
      </c>
      <c r="G27" s="18">
        <v>0.79</v>
      </c>
      <c r="H27" s="18">
        <v>0.79</v>
      </c>
      <c r="I27" s="18">
        <v>0.79</v>
      </c>
      <c r="J27" s="18">
        <v>0.79</v>
      </c>
      <c r="K27" s="18">
        <v>0.79</v>
      </c>
      <c r="L27" s="23"/>
    </row>
    <row r="28" spans="1:12" x14ac:dyDescent="0.2">
      <c r="A28" s="24"/>
      <c r="B28" s="10"/>
      <c r="C28" s="1" t="s">
        <v>31</v>
      </c>
      <c r="D28" s="9">
        <v>5</v>
      </c>
      <c r="E28" s="18">
        <v>0.14000000000000001</v>
      </c>
      <c r="F28" s="18">
        <v>0.14000000000000001</v>
      </c>
      <c r="G28" s="18">
        <v>0.14000000000000001</v>
      </c>
      <c r="H28" s="18">
        <v>0.14000000000000001</v>
      </c>
      <c r="I28" s="18">
        <v>0.14000000000000001</v>
      </c>
      <c r="J28" s="18">
        <v>0.14000000000000001</v>
      </c>
      <c r="K28" s="18">
        <v>0.14000000000000001</v>
      </c>
      <c r="L28" s="23"/>
    </row>
    <row r="29" spans="1:12" x14ac:dyDescent="0.2">
      <c r="A29" s="24"/>
      <c r="B29" s="10"/>
      <c r="C29" s="1"/>
      <c r="D29" s="9"/>
      <c r="E29" s="9"/>
      <c r="F29" s="9"/>
      <c r="G29" s="9"/>
      <c r="H29" s="9"/>
      <c r="I29" s="9"/>
      <c r="J29" s="12"/>
      <c r="K29" s="9"/>
      <c r="L29" s="22"/>
    </row>
    <row r="30" spans="1:12" x14ac:dyDescent="0.2">
      <c r="A30" s="24"/>
      <c r="B30" s="10"/>
      <c r="C30" s="1"/>
      <c r="D30" s="9"/>
      <c r="E30" s="9"/>
      <c r="F30" s="9"/>
      <c r="G30" s="9"/>
      <c r="H30" s="9"/>
      <c r="I30" s="9"/>
      <c r="J30" s="9"/>
      <c r="K30" s="9"/>
      <c r="L30" s="23"/>
    </row>
    <row r="31" spans="1:12" x14ac:dyDescent="0.2">
      <c r="A31" s="24"/>
      <c r="B31" s="10"/>
      <c r="C31" s="1" t="s">
        <v>32</v>
      </c>
      <c r="D31" s="27">
        <v>0.35</v>
      </c>
      <c r="E31" s="9"/>
      <c r="F31" s="9"/>
      <c r="G31" s="9"/>
      <c r="H31" s="9"/>
      <c r="I31" s="9"/>
      <c r="J31" s="9"/>
      <c r="K31" s="9"/>
      <c r="L31" s="23"/>
    </row>
    <row r="32" spans="1:12" x14ac:dyDescent="0.2">
      <c r="A32" s="24"/>
      <c r="B32" s="10"/>
      <c r="C32" s="1" t="s">
        <v>33</v>
      </c>
      <c r="D32" s="27">
        <v>0.06</v>
      </c>
      <c r="E32" s="9"/>
      <c r="F32" s="9"/>
      <c r="G32" s="9"/>
      <c r="H32" s="9"/>
      <c r="I32" s="9"/>
      <c r="J32" s="9"/>
      <c r="K32" s="9"/>
      <c r="L32" s="23"/>
    </row>
    <row r="33" spans="1:12" x14ac:dyDescent="0.2">
      <c r="A33" s="24"/>
      <c r="B33" s="10"/>
      <c r="C33" s="1" t="s">
        <v>34</v>
      </c>
      <c r="D33" s="27">
        <v>0.124</v>
      </c>
      <c r="E33" s="9"/>
      <c r="F33" s="9"/>
      <c r="G33" s="9"/>
      <c r="H33" s="9"/>
      <c r="I33" s="9"/>
      <c r="J33" s="9"/>
      <c r="K33" s="9"/>
      <c r="L33" s="23"/>
    </row>
    <row r="34" spans="1:12" x14ac:dyDescent="0.2">
      <c r="A34" s="24"/>
      <c r="B34" s="10"/>
      <c r="C34" s="1" t="s">
        <v>35</v>
      </c>
      <c r="D34" s="27">
        <v>0.4</v>
      </c>
      <c r="E34" s="9"/>
      <c r="F34" s="9"/>
      <c r="G34" s="9"/>
      <c r="H34" s="9"/>
      <c r="I34" s="9"/>
      <c r="J34" s="9"/>
      <c r="K34" s="9"/>
      <c r="L34" s="23"/>
    </row>
    <row r="35" spans="1:12" x14ac:dyDescent="0.2">
      <c r="A35" s="24"/>
      <c r="B35" s="10"/>
      <c r="C35" s="1" t="s">
        <v>36</v>
      </c>
      <c r="D35" s="28">
        <f>((1-D31)*D32*D34+(1-D34)*D33)</f>
        <v>0.09</v>
      </c>
      <c r="E35" s="9"/>
      <c r="F35" s="9"/>
      <c r="G35" s="9"/>
      <c r="H35" s="9"/>
      <c r="I35" s="9"/>
      <c r="J35" s="9"/>
      <c r="K35" s="9"/>
      <c r="L35" s="23"/>
    </row>
    <row r="36" spans="1:12" x14ac:dyDescent="0.2">
      <c r="A36" s="24"/>
      <c r="B36" s="10"/>
      <c r="C36" s="1" t="s">
        <v>37</v>
      </c>
      <c r="D36" s="27">
        <v>0.03</v>
      </c>
      <c r="E36" s="9"/>
      <c r="F36" s="9"/>
      <c r="G36" s="9"/>
      <c r="H36" s="9"/>
      <c r="I36" s="9"/>
      <c r="J36" s="9"/>
      <c r="K36" s="9"/>
      <c r="L36" s="23"/>
    </row>
    <row r="37" spans="1:12" x14ac:dyDescent="0.2">
      <c r="A37" s="24"/>
      <c r="B37" s="10"/>
      <c r="C37" s="1"/>
      <c r="D37" s="14"/>
      <c r="E37" s="9"/>
      <c r="F37" s="9"/>
      <c r="G37" s="9"/>
      <c r="H37" s="9"/>
      <c r="I37" s="9"/>
      <c r="J37" s="9"/>
      <c r="K37" s="9"/>
      <c r="L37" s="23"/>
    </row>
    <row r="38" spans="1:12" x14ac:dyDescent="0.2">
      <c r="A38" s="24"/>
      <c r="B38" s="10"/>
      <c r="C38" s="2" t="s">
        <v>38</v>
      </c>
      <c r="D38" s="14"/>
      <c r="E38" s="9"/>
      <c r="F38" s="9"/>
      <c r="G38" s="9"/>
      <c r="H38" s="9"/>
      <c r="I38" s="9"/>
      <c r="J38" s="9"/>
      <c r="K38" s="9"/>
      <c r="L38" s="23"/>
    </row>
    <row r="39" spans="1:12" x14ac:dyDescent="0.2">
      <c r="A39" s="24"/>
      <c r="B39" s="10"/>
      <c r="C39" s="1" t="s">
        <v>39</v>
      </c>
      <c r="D39" s="13">
        <f>D40+D41</f>
        <v>95</v>
      </c>
      <c r="E39" s="13">
        <f>E40+E41</f>
        <v>109.56047119999999</v>
      </c>
      <c r="F39" s="13">
        <f t="shared" ref="F39:K39" si="10">F40+F41</f>
        <v>125.09309538399999</v>
      </c>
      <c r="G39" s="13">
        <f t="shared" si="10"/>
        <v>141.71300326087999</v>
      </c>
      <c r="H39" s="13">
        <f t="shared" si="10"/>
        <v>156.7292941848352</v>
      </c>
      <c r="I39" s="13">
        <f t="shared" si="10"/>
        <v>172.34623674574863</v>
      </c>
      <c r="J39" s="13">
        <f t="shared" si="10"/>
        <v>188.58785700909857</v>
      </c>
      <c r="K39" s="13">
        <f t="shared" si="10"/>
        <v>204.44163858167715</v>
      </c>
      <c r="L39" s="22"/>
    </row>
    <row r="40" spans="1:12" x14ac:dyDescent="0.2">
      <c r="A40" s="24"/>
      <c r="B40" s="15"/>
      <c r="C40" s="16" t="s">
        <v>40</v>
      </c>
      <c r="D40" s="13">
        <v>29</v>
      </c>
      <c r="E40" s="13">
        <f t="shared" ref="E40:K40" si="11">D40+E10</f>
        <v>38.893391199999996</v>
      </c>
      <c r="F40" s="13">
        <f t="shared" si="11"/>
        <v>49.479319783999998</v>
      </c>
      <c r="G40" s="13">
        <f t="shared" si="11"/>
        <v>60.806263368879996</v>
      </c>
      <c r="H40" s="13">
        <f t="shared" si="11"/>
        <v>72.586284697155193</v>
      </c>
      <c r="I40" s="13">
        <f t="shared" si="11"/>
        <v>84.837506878561399</v>
      </c>
      <c r="J40" s="13">
        <f t="shared" si="11"/>
        <v>97.578777947223855</v>
      </c>
      <c r="K40" s="13">
        <f t="shared" si="11"/>
        <v>110.70228714794619</v>
      </c>
      <c r="L40" s="22"/>
    </row>
    <row r="41" spans="1:12" x14ac:dyDescent="0.2">
      <c r="A41" s="24"/>
      <c r="B41" s="15"/>
      <c r="C41" s="1" t="s">
        <v>41</v>
      </c>
      <c r="D41" s="13">
        <v>66</v>
      </c>
      <c r="E41" s="13">
        <f t="shared" ref="E41:K41" si="12">E7*E27</f>
        <v>70.667079999999999</v>
      </c>
      <c r="F41" s="13">
        <f t="shared" si="12"/>
        <v>75.613775599999997</v>
      </c>
      <c r="G41" s="13">
        <f t="shared" si="12"/>
        <v>80.906739892000004</v>
      </c>
      <c r="H41" s="13">
        <f t="shared" si="12"/>
        <v>84.143009487680004</v>
      </c>
      <c r="I41" s="13">
        <f t="shared" si="12"/>
        <v>87.508729867187213</v>
      </c>
      <c r="J41" s="13">
        <f t="shared" si="12"/>
        <v>91.009079061874715</v>
      </c>
      <c r="K41" s="13">
        <f t="shared" si="12"/>
        <v>93.73935143373096</v>
      </c>
      <c r="L41" s="22"/>
    </row>
    <row r="42" spans="1:12" x14ac:dyDescent="0.2">
      <c r="A42" s="24"/>
      <c r="B42" s="15"/>
      <c r="C42" s="1" t="s">
        <v>42</v>
      </c>
      <c r="D42" s="13">
        <v>11.1</v>
      </c>
      <c r="E42" s="13">
        <f t="shared" ref="E42:K42" si="13">E26*E7</f>
        <v>11.62876</v>
      </c>
      <c r="F42" s="13">
        <f t="shared" si="13"/>
        <v>12.4427732</v>
      </c>
      <c r="G42" s="13">
        <f t="shared" si="13"/>
        <v>13.313767324000001</v>
      </c>
      <c r="H42" s="13">
        <f t="shared" si="13"/>
        <v>13.846318016960002</v>
      </c>
      <c r="I42" s="13">
        <f t="shared" si="13"/>
        <v>14.400170737638403</v>
      </c>
      <c r="J42" s="13">
        <f t="shared" si="13"/>
        <v>14.976177567143939</v>
      </c>
      <c r="K42" s="13">
        <f t="shared" si="13"/>
        <v>15.425462894158258</v>
      </c>
      <c r="L42" s="22"/>
    </row>
    <row r="43" spans="1:12" x14ac:dyDescent="0.2">
      <c r="A43" s="24"/>
      <c r="B43" s="25"/>
      <c r="C43" s="20"/>
      <c r="D43" s="20"/>
      <c r="E43" s="20"/>
      <c r="F43" s="20"/>
      <c r="G43" s="20"/>
      <c r="H43" s="20"/>
      <c r="I43" s="20"/>
      <c r="J43" s="20"/>
      <c r="K43" s="20"/>
      <c r="L43" s="20"/>
    </row>
  </sheetData>
  <mergeCells count="4">
    <mergeCell ref="B1:K1"/>
    <mergeCell ref="E4:J4"/>
    <mergeCell ref="I19:K19"/>
    <mergeCell ref="I20:K20"/>
  </mergeCells>
  <pageMargins left="0.75" right="0.75" top="1" bottom="1" header="0.5" footer="0.5"/>
  <pageSetup orientation="portrait" horizontalDpi="4294967292" verticalDpi="4294967292"/>
  <ignoredErrors>
    <ignoredError sqref="F12:K12 E10:K10 E12" formula="1"/>
    <ignoredError sqref="B8:B13 B15:B17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Starting Sheet</vt:lpstr>
      <vt:lpstr>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Guttman-Kenney</cp:lastModifiedBy>
  <dcterms:created xsi:type="dcterms:W3CDTF">2014-07-10T05:10:13Z</dcterms:created>
  <dcterms:modified xsi:type="dcterms:W3CDTF">2025-04-10T21:05:29Z</dcterms:modified>
  <cp:category/>
</cp:coreProperties>
</file>