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k/Dropbox/rice/teaching/Core Finance Evening MBA 2024-25 Spring (MGMP 543)/slides/Week2/"/>
    </mc:Choice>
  </mc:AlternateContent>
  <xr:revisionPtr revIDLastSave="0" documentId="13_ncr:1_{3FFBE5FC-412F-FE40-831B-C41B04FE5AC6}" xr6:coauthVersionLast="47" xr6:coauthVersionMax="47" xr10:uidLastSave="{00000000-0000-0000-0000-000000000000}"/>
  <bookViews>
    <workbookView xWindow="-28160" yWindow="-1240" windowWidth="28040" windowHeight="16440" activeTab="1" xr2:uid="{8EC6AB9A-D371-8D47-8058-0E9F694358E2}"/>
  </bookViews>
  <sheets>
    <sheet name="NPVs" sheetId="1" r:id="rId1"/>
    <sheet name="EAC" sheetId="2" r:id="rId2"/>
  </sheets>
  <definedNames>
    <definedName name="eacrate">EAC!$B$1</definedName>
    <definedName name="intrate">NPVs!$B$2</definedName>
    <definedName name="rate">NPVs!$B$2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C14" i="2"/>
  <c r="B14" i="2"/>
  <c r="C13" i="2"/>
  <c r="B13" i="2"/>
  <c r="A8" i="2"/>
  <c r="A9" i="2" s="1"/>
  <c r="A10" i="2" s="1"/>
  <c r="A11" i="2" s="1"/>
  <c r="D15" i="1"/>
  <c r="C15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531" i="1"/>
  <c r="E531" i="1"/>
  <c r="F531" i="1"/>
  <c r="G531" i="1"/>
  <c r="H531" i="1"/>
  <c r="D532" i="1"/>
  <c r="E532" i="1"/>
  <c r="F532" i="1"/>
  <c r="G532" i="1"/>
  <c r="H532" i="1"/>
  <c r="D533" i="1"/>
  <c r="E533" i="1"/>
  <c r="F533" i="1"/>
  <c r="G533" i="1"/>
  <c r="H533" i="1"/>
  <c r="D534" i="1"/>
  <c r="E534" i="1"/>
  <c r="F534" i="1"/>
  <c r="G534" i="1"/>
  <c r="H534" i="1"/>
  <c r="D535" i="1"/>
  <c r="E535" i="1"/>
  <c r="F535" i="1"/>
  <c r="G535" i="1"/>
  <c r="H535" i="1"/>
  <c r="D536" i="1"/>
  <c r="E536" i="1"/>
  <c r="F536" i="1"/>
  <c r="G536" i="1"/>
  <c r="H536" i="1"/>
  <c r="D537" i="1"/>
  <c r="E537" i="1"/>
  <c r="F537" i="1"/>
  <c r="G537" i="1"/>
  <c r="H537" i="1"/>
  <c r="D538" i="1"/>
  <c r="E538" i="1"/>
  <c r="F538" i="1"/>
  <c r="G538" i="1"/>
  <c r="H538" i="1"/>
  <c r="D539" i="1"/>
  <c r="E539" i="1"/>
  <c r="F539" i="1"/>
  <c r="G539" i="1"/>
  <c r="H539" i="1"/>
  <c r="D540" i="1"/>
  <c r="E540" i="1"/>
  <c r="F540" i="1"/>
  <c r="G540" i="1"/>
  <c r="H540" i="1"/>
  <c r="D541" i="1"/>
  <c r="E541" i="1"/>
  <c r="F541" i="1"/>
  <c r="G541" i="1"/>
  <c r="H541" i="1"/>
  <c r="D542" i="1"/>
  <c r="E542" i="1"/>
  <c r="F542" i="1"/>
  <c r="G542" i="1"/>
  <c r="H542" i="1"/>
  <c r="D543" i="1"/>
  <c r="E543" i="1"/>
  <c r="F543" i="1"/>
  <c r="G543" i="1"/>
  <c r="H543" i="1"/>
  <c r="D544" i="1"/>
  <c r="E544" i="1"/>
  <c r="F544" i="1"/>
  <c r="G544" i="1"/>
  <c r="H544" i="1"/>
  <c r="D545" i="1"/>
  <c r="E545" i="1"/>
  <c r="F545" i="1"/>
  <c r="G545" i="1"/>
  <c r="H545" i="1"/>
  <c r="D546" i="1"/>
  <c r="E546" i="1"/>
  <c r="F546" i="1"/>
  <c r="G546" i="1"/>
  <c r="H546" i="1"/>
  <c r="D547" i="1"/>
  <c r="E547" i="1"/>
  <c r="F547" i="1"/>
  <c r="G547" i="1"/>
  <c r="H547" i="1"/>
  <c r="D548" i="1"/>
  <c r="E548" i="1"/>
  <c r="F548" i="1"/>
  <c r="G548" i="1"/>
  <c r="H548" i="1"/>
  <c r="D549" i="1"/>
  <c r="E549" i="1"/>
  <c r="F549" i="1"/>
  <c r="G549" i="1"/>
  <c r="H549" i="1"/>
  <c r="D550" i="1"/>
  <c r="E550" i="1"/>
  <c r="F550" i="1"/>
  <c r="G550" i="1"/>
  <c r="H550" i="1"/>
  <c r="D551" i="1"/>
  <c r="E551" i="1"/>
  <c r="F551" i="1"/>
  <c r="G551" i="1"/>
  <c r="H551" i="1"/>
  <c r="D552" i="1"/>
  <c r="E552" i="1"/>
  <c r="F552" i="1"/>
  <c r="G552" i="1"/>
  <c r="H552" i="1"/>
  <c r="D553" i="1"/>
  <c r="E553" i="1"/>
  <c r="F553" i="1"/>
  <c r="G553" i="1"/>
  <c r="H553" i="1"/>
  <c r="D554" i="1"/>
  <c r="E554" i="1"/>
  <c r="F554" i="1"/>
  <c r="G554" i="1"/>
  <c r="H554" i="1"/>
  <c r="D555" i="1"/>
  <c r="E555" i="1"/>
  <c r="F555" i="1"/>
  <c r="G555" i="1"/>
  <c r="H555" i="1"/>
  <c r="D556" i="1"/>
  <c r="E556" i="1"/>
  <c r="F556" i="1"/>
  <c r="G556" i="1"/>
  <c r="H556" i="1"/>
  <c r="D557" i="1"/>
  <c r="E557" i="1"/>
  <c r="F557" i="1"/>
  <c r="G557" i="1"/>
  <c r="H557" i="1"/>
  <c r="D558" i="1"/>
  <c r="E558" i="1"/>
  <c r="F558" i="1"/>
  <c r="G558" i="1"/>
  <c r="H558" i="1"/>
  <c r="D559" i="1"/>
  <c r="E559" i="1"/>
  <c r="F559" i="1"/>
  <c r="G559" i="1"/>
  <c r="H559" i="1"/>
  <c r="D560" i="1"/>
  <c r="E560" i="1"/>
  <c r="F560" i="1"/>
  <c r="G560" i="1"/>
  <c r="H560" i="1"/>
  <c r="D561" i="1"/>
  <c r="E561" i="1"/>
  <c r="F561" i="1"/>
  <c r="G561" i="1"/>
  <c r="H561" i="1"/>
  <c r="D562" i="1"/>
  <c r="E562" i="1"/>
  <c r="F562" i="1"/>
  <c r="G562" i="1"/>
  <c r="H562" i="1"/>
  <c r="D563" i="1"/>
  <c r="E563" i="1"/>
  <c r="F563" i="1"/>
  <c r="G563" i="1"/>
  <c r="H563" i="1"/>
  <c r="D564" i="1"/>
  <c r="E564" i="1"/>
  <c r="F564" i="1"/>
  <c r="G564" i="1"/>
  <c r="H564" i="1"/>
  <c r="D565" i="1"/>
  <c r="E565" i="1"/>
  <c r="F565" i="1"/>
  <c r="G565" i="1"/>
  <c r="H565" i="1"/>
  <c r="D566" i="1"/>
  <c r="E566" i="1"/>
  <c r="F566" i="1"/>
  <c r="G566" i="1"/>
  <c r="H566" i="1"/>
  <c r="D567" i="1"/>
  <c r="E567" i="1"/>
  <c r="F567" i="1"/>
  <c r="G567" i="1"/>
  <c r="H567" i="1"/>
  <c r="D568" i="1"/>
  <c r="E568" i="1"/>
  <c r="F568" i="1"/>
  <c r="G568" i="1"/>
  <c r="H568" i="1"/>
  <c r="D569" i="1"/>
  <c r="E569" i="1"/>
  <c r="F569" i="1"/>
  <c r="G569" i="1"/>
  <c r="H569" i="1"/>
  <c r="D570" i="1"/>
  <c r="E570" i="1"/>
  <c r="F570" i="1"/>
  <c r="G570" i="1"/>
  <c r="H570" i="1"/>
  <c r="D571" i="1"/>
  <c r="E571" i="1"/>
  <c r="F571" i="1"/>
  <c r="G571" i="1"/>
  <c r="H571" i="1"/>
  <c r="D572" i="1"/>
  <c r="E572" i="1"/>
  <c r="F572" i="1"/>
  <c r="G572" i="1"/>
  <c r="H572" i="1"/>
  <c r="D573" i="1"/>
  <c r="E573" i="1"/>
  <c r="F573" i="1"/>
  <c r="G573" i="1"/>
  <c r="H573" i="1"/>
  <c r="D574" i="1"/>
  <c r="E574" i="1"/>
  <c r="F574" i="1"/>
  <c r="G574" i="1"/>
  <c r="H574" i="1"/>
  <c r="D575" i="1"/>
  <c r="E575" i="1"/>
  <c r="F575" i="1"/>
  <c r="G575" i="1"/>
  <c r="H575" i="1"/>
  <c r="D576" i="1"/>
  <c r="E576" i="1"/>
  <c r="F576" i="1"/>
  <c r="G576" i="1"/>
  <c r="H576" i="1"/>
  <c r="D577" i="1"/>
  <c r="E577" i="1"/>
  <c r="F577" i="1"/>
  <c r="G577" i="1"/>
  <c r="H577" i="1"/>
  <c r="D578" i="1"/>
  <c r="E578" i="1"/>
  <c r="F578" i="1"/>
  <c r="G578" i="1"/>
  <c r="H578" i="1"/>
  <c r="D579" i="1"/>
  <c r="E579" i="1"/>
  <c r="F579" i="1"/>
  <c r="G579" i="1"/>
  <c r="H579" i="1"/>
  <c r="D580" i="1"/>
  <c r="E580" i="1"/>
  <c r="F580" i="1"/>
  <c r="G580" i="1"/>
  <c r="H580" i="1"/>
  <c r="D581" i="1"/>
  <c r="E581" i="1"/>
  <c r="F581" i="1"/>
  <c r="G581" i="1"/>
  <c r="H581" i="1"/>
  <c r="D582" i="1"/>
  <c r="E582" i="1"/>
  <c r="F582" i="1"/>
  <c r="G582" i="1"/>
  <c r="H582" i="1"/>
  <c r="D583" i="1"/>
  <c r="E583" i="1"/>
  <c r="F583" i="1"/>
  <c r="G583" i="1"/>
  <c r="H583" i="1"/>
  <c r="D584" i="1"/>
  <c r="E584" i="1"/>
  <c r="F584" i="1"/>
  <c r="G584" i="1"/>
  <c r="H584" i="1"/>
  <c r="D585" i="1"/>
  <c r="E585" i="1"/>
  <c r="F585" i="1"/>
  <c r="G585" i="1"/>
  <c r="H585" i="1"/>
  <c r="D586" i="1"/>
  <c r="E586" i="1"/>
  <c r="F586" i="1"/>
  <c r="G586" i="1"/>
  <c r="H586" i="1"/>
  <c r="D587" i="1"/>
  <c r="E587" i="1"/>
  <c r="F587" i="1"/>
  <c r="G587" i="1"/>
  <c r="H587" i="1"/>
  <c r="D588" i="1"/>
  <c r="E588" i="1"/>
  <c r="F588" i="1"/>
  <c r="G588" i="1"/>
  <c r="H588" i="1"/>
  <c r="D589" i="1"/>
  <c r="E589" i="1"/>
  <c r="F589" i="1"/>
  <c r="G589" i="1"/>
  <c r="H589" i="1"/>
  <c r="D590" i="1"/>
  <c r="E590" i="1"/>
  <c r="F590" i="1"/>
  <c r="G590" i="1"/>
  <c r="H590" i="1"/>
  <c r="D591" i="1"/>
  <c r="E591" i="1"/>
  <c r="F591" i="1"/>
  <c r="G591" i="1"/>
  <c r="H591" i="1"/>
  <c r="D592" i="1"/>
  <c r="E592" i="1"/>
  <c r="F592" i="1"/>
  <c r="G592" i="1"/>
  <c r="H592" i="1"/>
  <c r="D593" i="1"/>
  <c r="E593" i="1"/>
  <c r="F593" i="1"/>
  <c r="G593" i="1"/>
  <c r="H593" i="1"/>
  <c r="D594" i="1"/>
  <c r="E594" i="1"/>
  <c r="F594" i="1"/>
  <c r="G594" i="1"/>
  <c r="H594" i="1"/>
  <c r="D595" i="1"/>
  <c r="E595" i="1"/>
  <c r="F595" i="1"/>
  <c r="G595" i="1"/>
  <c r="H595" i="1"/>
  <c r="D596" i="1"/>
  <c r="E596" i="1"/>
  <c r="F596" i="1"/>
  <c r="G596" i="1"/>
  <c r="H596" i="1"/>
  <c r="D597" i="1"/>
  <c r="E597" i="1"/>
  <c r="F597" i="1"/>
  <c r="G597" i="1"/>
  <c r="H597" i="1"/>
  <c r="D598" i="1"/>
  <c r="E598" i="1"/>
  <c r="F598" i="1"/>
  <c r="G598" i="1"/>
  <c r="H598" i="1"/>
  <c r="D599" i="1"/>
  <c r="E599" i="1"/>
  <c r="F599" i="1"/>
  <c r="G599" i="1"/>
  <c r="H599" i="1"/>
  <c r="D600" i="1"/>
  <c r="E600" i="1"/>
  <c r="F600" i="1"/>
  <c r="G600" i="1"/>
  <c r="H600" i="1"/>
  <c r="D601" i="1"/>
  <c r="E601" i="1"/>
  <c r="F601" i="1"/>
  <c r="G601" i="1"/>
  <c r="H601" i="1"/>
  <c r="D602" i="1"/>
  <c r="E602" i="1"/>
  <c r="F602" i="1"/>
  <c r="G602" i="1"/>
  <c r="H602" i="1"/>
  <c r="D603" i="1"/>
  <c r="E603" i="1"/>
  <c r="F603" i="1"/>
  <c r="G603" i="1"/>
  <c r="H603" i="1"/>
  <c r="D604" i="1"/>
  <c r="E604" i="1"/>
  <c r="F604" i="1"/>
  <c r="G604" i="1"/>
  <c r="H604" i="1"/>
  <c r="D605" i="1"/>
  <c r="E605" i="1"/>
  <c r="F605" i="1"/>
  <c r="G605" i="1"/>
  <c r="H605" i="1"/>
  <c r="D606" i="1"/>
  <c r="E606" i="1"/>
  <c r="F606" i="1"/>
  <c r="G606" i="1"/>
  <c r="H606" i="1"/>
  <c r="D607" i="1"/>
  <c r="E607" i="1"/>
  <c r="F607" i="1"/>
  <c r="G607" i="1"/>
  <c r="H607" i="1"/>
  <c r="D608" i="1"/>
  <c r="E608" i="1"/>
  <c r="F608" i="1"/>
  <c r="G608" i="1"/>
  <c r="H608" i="1"/>
  <c r="D609" i="1"/>
  <c r="E609" i="1"/>
  <c r="F609" i="1"/>
  <c r="G609" i="1"/>
  <c r="H609" i="1"/>
  <c r="D610" i="1"/>
  <c r="E610" i="1"/>
  <c r="F610" i="1"/>
  <c r="G610" i="1"/>
  <c r="H610" i="1"/>
  <c r="D611" i="1"/>
  <c r="E611" i="1"/>
  <c r="F611" i="1"/>
  <c r="G611" i="1"/>
  <c r="H611" i="1"/>
  <c r="D612" i="1"/>
  <c r="E612" i="1"/>
  <c r="F612" i="1"/>
  <c r="G612" i="1"/>
  <c r="H612" i="1"/>
  <c r="D613" i="1"/>
  <c r="E613" i="1"/>
  <c r="F613" i="1"/>
  <c r="G613" i="1"/>
  <c r="H613" i="1"/>
  <c r="D614" i="1"/>
  <c r="E614" i="1"/>
  <c r="F614" i="1"/>
  <c r="G614" i="1"/>
  <c r="H614" i="1"/>
  <c r="D615" i="1"/>
  <c r="E615" i="1"/>
  <c r="F615" i="1"/>
  <c r="G615" i="1"/>
  <c r="H615" i="1"/>
  <c r="D616" i="1"/>
  <c r="E616" i="1"/>
  <c r="F616" i="1"/>
  <c r="G616" i="1"/>
  <c r="H616" i="1"/>
  <c r="D617" i="1"/>
  <c r="E617" i="1"/>
  <c r="F617" i="1"/>
  <c r="G617" i="1"/>
  <c r="H617" i="1"/>
  <c r="D618" i="1"/>
  <c r="E618" i="1"/>
  <c r="F618" i="1"/>
  <c r="G618" i="1"/>
  <c r="H618" i="1"/>
  <c r="D619" i="1"/>
  <c r="E619" i="1"/>
  <c r="F619" i="1"/>
  <c r="G619" i="1"/>
  <c r="H619" i="1"/>
  <c r="D620" i="1"/>
  <c r="E620" i="1"/>
  <c r="F620" i="1"/>
  <c r="G620" i="1"/>
  <c r="H620" i="1"/>
  <c r="D621" i="1"/>
  <c r="E621" i="1"/>
  <c r="F621" i="1"/>
  <c r="G621" i="1"/>
  <c r="H621" i="1"/>
  <c r="D622" i="1"/>
  <c r="E622" i="1"/>
  <c r="F622" i="1"/>
  <c r="G622" i="1"/>
  <c r="H622" i="1"/>
  <c r="D623" i="1"/>
  <c r="E623" i="1"/>
  <c r="F623" i="1"/>
  <c r="G623" i="1"/>
  <c r="H623" i="1"/>
  <c r="D624" i="1"/>
  <c r="E624" i="1"/>
  <c r="F624" i="1"/>
  <c r="G624" i="1"/>
  <c r="H624" i="1"/>
  <c r="D625" i="1"/>
  <c r="E625" i="1"/>
  <c r="F625" i="1"/>
  <c r="G625" i="1"/>
  <c r="H625" i="1"/>
  <c r="D626" i="1"/>
  <c r="E626" i="1"/>
  <c r="F626" i="1"/>
  <c r="G626" i="1"/>
  <c r="H626" i="1"/>
  <c r="D627" i="1"/>
  <c r="E627" i="1"/>
  <c r="F627" i="1"/>
  <c r="G627" i="1"/>
  <c r="H627" i="1"/>
  <c r="D628" i="1"/>
  <c r="E628" i="1"/>
  <c r="F628" i="1"/>
  <c r="G628" i="1"/>
  <c r="H628" i="1"/>
  <c r="D629" i="1"/>
  <c r="E629" i="1"/>
  <c r="F629" i="1"/>
  <c r="G629" i="1"/>
  <c r="H629" i="1"/>
  <c r="D630" i="1"/>
  <c r="E630" i="1"/>
  <c r="F630" i="1"/>
  <c r="G630" i="1"/>
  <c r="H630" i="1"/>
  <c r="D631" i="1"/>
  <c r="E631" i="1"/>
  <c r="F631" i="1"/>
  <c r="G631" i="1"/>
  <c r="H631" i="1"/>
  <c r="D632" i="1"/>
  <c r="E632" i="1"/>
  <c r="F632" i="1"/>
  <c r="G632" i="1"/>
  <c r="H632" i="1"/>
  <c r="D633" i="1"/>
  <c r="E633" i="1"/>
  <c r="F633" i="1"/>
  <c r="G633" i="1"/>
  <c r="H633" i="1"/>
  <c r="D634" i="1"/>
  <c r="E634" i="1"/>
  <c r="F634" i="1"/>
  <c r="G634" i="1"/>
  <c r="H634" i="1"/>
  <c r="D635" i="1"/>
  <c r="E635" i="1"/>
  <c r="F635" i="1"/>
  <c r="G635" i="1"/>
  <c r="H635" i="1"/>
  <c r="D636" i="1"/>
  <c r="E636" i="1"/>
  <c r="F636" i="1"/>
  <c r="G636" i="1"/>
  <c r="H636" i="1"/>
  <c r="D637" i="1"/>
  <c r="E637" i="1"/>
  <c r="F637" i="1"/>
  <c r="G637" i="1"/>
  <c r="H637" i="1"/>
  <c r="D638" i="1"/>
  <c r="E638" i="1"/>
  <c r="F638" i="1"/>
  <c r="G638" i="1"/>
  <c r="H638" i="1"/>
  <c r="D639" i="1"/>
  <c r="E639" i="1"/>
  <c r="F639" i="1"/>
  <c r="G639" i="1"/>
  <c r="H639" i="1"/>
  <c r="D640" i="1"/>
  <c r="E640" i="1"/>
  <c r="F640" i="1"/>
  <c r="G640" i="1"/>
  <c r="H640" i="1"/>
  <c r="D641" i="1"/>
  <c r="E641" i="1"/>
  <c r="F641" i="1"/>
  <c r="G641" i="1"/>
  <c r="H641" i="1"/>
  <c r="D642" i="1"/>
  <c r="E642" i="1"/>
  <c r="F642" i="1"/>
  <c r="G642" i="1"/>
  <c r="H642" i="1"/>
  <c r="D643" i="1"/>
  <c r="E643" i="1"/>
  <c r="F643" i="1"/>
  <c r="G643" i="1"/>
  <c r="H643" i="1"/>
  <c r="D644" i="1"/>
  <c r="E644" i="1"/>
  <c r="F644" i="1"/>
  <c r="G644" i="1"/>
  <c r="H644" i="1"/>
  <c r="D645" i="1"/>
  <c r="E645" i="1"/>
  <c r="F645" i="1"/>
  <c r="G645" i="1"/>
  <c r="H645" i="1"/>
  <c r="D646" i="1"/>
  <c r="E646" i="1"/>
  <c r="F646" i="1"/>
  <c r="G646" i="1"/>
  <c r="H646" i="1"/>
  <c r="D647" i="1"/>
  <c r="E647" i="1"/>
  <c r="F647" i="1"/>
  <c r="G647" i="1"/>
  <c r="H647" i="1"/>
  <c r="D648" i="1"/>
  <c r="E648" i="1"/>
  <c r="F648" i="1"/>
  <c r="G648" i="1"/>
  <c r="H648" i="1"/>
  <c r="D649" i="1"/>
  <c r="E649" i="1"/>
  <c r="F649" i="1"/>
  <c r="G649" i="1"/>
  <c r="H649" i="1"/>
  <c r="D650" i="1"/>
  <c r="E650" i="1"/>
  <c r="F650" i="1"/>
  <c r="G650" i="1"/>
  <c r="H650" i="1"/>
  <c r="D651" i="1"/>
  <c r="E651" i="1"/>
  <c r="F651" i="1"/>
  <c r="G651" i="1"/>
  <c r="H651" i="1"/>
  <c r="D652" i="1"/>
  <c r="E652" i="1"/>
  <c r="F652" i="1"/>
  <c r="G652" i="1"/>
  <c r="H652" i="1"/>
  <c r="D653" i="1"/>
  <c r="E653" i="1"/>
  <c r="F653" i="1"/>
  <c r="G653" i="1"/>
  <c r="H653" i="1"/>
  <c r="D654" i="1"/>
  <c r="E654" i="1"/>
  <c r="F654" i="1"/>
  <c r="G654" i="1"/>
  <c r="H654" i="1"/>
  <c r="D655" i="1"/>
  <c r="E655" i="1"/>
  <c r="F655" i="1"/>
  <c r="G655" i="1"/>
  <c r="H655" i="1"/>
  <c r="D656" i="1"/>
  <c r="E656" i="1"/>
  <c r="F656" i="1"/>
  <c r="G656" i="1"/>
  <c r="H656" i="1"/>
  <c r="D657" i="1"/>
  <c r="E657" i="1"/>
  <c r="F657" i="1"/>
  <c r="G657" i="1"/>
  <c r="H657" i="1"/>
  <c r="D658" i="1"/>
  <c r="E658" i="1"/>
  <c r="F658" i="1"/>
  <c r="G658" i="1"/>
  <c r="H658" i="1"/>
  <c r="D659" i="1"/>
  <c r="E659" i="1"/>
  <c r="F659" i="1"/>
  <c r="G659" i="1"/>
  <c r="H659" i="1"/>
  <c r="D660" i="1"/>
  <c r="E660" i="1"/>
  <c r="F660" i="1"/>
  <c r="G660" i="1"/>
  <c r="H660" i="1"/>
  <c r="D661" i="1"/>
  <c r="E661" i="1"/>
  <c r="F661" i="1"/>
  <c r="G661" i="1"/>
  <c r="H661" i="1"/>
  <c r="D662" i="1"/>
  <c r="E662" i="1"/>
  <c r="F662" i="1"/>
  <c r="G662" i="1"/>
  <c r="H662" i="1"/>
  <c r="D663" i="1"/>
  <c r="E663" i="1"/>
  <c r="F663" i="1"/>
  <c r="G663" i="1"/>
  <c r="H663" i="1"/>
  <c r="D664" i="1"/>
  <c r="E664" i="1"/>
  <c r="F664" i="1"/>
  <c r="G664" i="1"/>
  <c r="H664" i="1"/>
  <c r="D665" i="1"/>
  <c r="E665" i="1"/>
  <c r="F665" i="1"/>
  <c r="G665" i="1"/>
  <c r="H665" i="1"/>
  <c r="D666" i="1"/>
  <c r="E666" i="1"/>
  <c r="F666" i="1"/>
  <c r="G666" i="1"/>
  <c r="H666" i="1"/>
  <c r="D667" i="1"/>
  <c r="E667" i="1"/>
  <c r="F667" i="1"/>
  <c r="G667" i="1"/>
  <c r="H667" i="1"/>
  <c r="D668" i="1"/>
  <c r="E668" i="1"/>
  <c r="F668" i="1"/>
  <c r="G668" i="1"/>
  <c r="H668" i="1"/>
  <c r="D669" i="1"/>
  <c r="E669" i="1"/>
  <c r="F669" i="1"/>
  <c r="G669" i="1"/>
  <c r="H669" i="1"/>
  <c r="D670" i="1"/>
  <c r="E670" i="1"/>
  <c r="F670" i="1"/>
  <c r="G670" i="1"/>
  <c r="H670" i="1"/>
  <c r="D671" i="1"/>
  <c r="E671" i="1"/>
  <c r="F671" i="1"/>
  <c r="G671" i="1"/>
  <c r="H671" i="1"/>
  <c r="D672" i="1"/>
  <c r="E672" i="1"/>
  <c r="F672" i="1"/>
  <c r="G672" i="1"/>
  <c r="H672" i="1"/>
  <c r="D673" i="1"/>
  <c r="E673" i="1"/>
  <c r="F673" i="1"/>
  <c r="G673" i="1"/>
  <c r="H673" i="1"/>
  <c r="D674" i="1"/>
  <c r="E674" i="1"/>
  <c r="F674" i="1"/>
  <c r="G674" i="1"/>
  <c r="H674" i="1"/>
  <c r="D675" i="1"/>
  <c r="E675" i="1"/>
  <c r="F675" i="1"/>
  <c r="G675" i="1"/>
  <c r="H675" i="1"/>
  <c r="D676" i="1"/>
  <c r="E676" i="1"/>
  <c r="F676" i="1"/>
  <c r="G676" i="1"/>
  <c r="H676" i="1"/>
  <c r="D677" i="1"/>
  <c r="E677" i="1"/>
  <c r="F677" i="1"/>
  <c r="G677" i="1"/>
  <c r="H677" i="1"/>
  <c r="D678" i="1"/>
  <c r="E678" i="1"/>
  <c r="F678" i="1"/>
  <c r="G678" i="1"/>
  <c r="H678" i="1"/>
  <c r="D679" i="1"/>
  <c r="E679" i="1"/>
  <c r="F679" i="1"/>
  <c r="G679" i="1"/>
  <c r="H679" i="1"/>
  <c r="D680" i="1"/>
  <c r="E680" i="1"/>
  <c r="F680" i="1"/>
  <c r="G680" i="1"/>
  <c r="H680" i="1"/>
  <c r="D681" i="1"/>
  <c r="E681" i="1"/>
  <c r="F681" i="1"/>
  <c r="G681" i="1"/>
  <c r="H681" i="1"/>
  <c r="D682" i="1"/>
  <c r="E682" i="1"/>
  <c r="F682" i="1"/>
  <c r="G682" i="1"/>
  <c r="H682" i="1"/>
  <c r="D683" i="1"/>
  <c r="E683" i="1"/>
  <c r="F683" i="1"/>
  <c r="G683" i="1"/>
  <c r="H683" i="1"/>
  <c r="D684" i="1"/>
  <c r="E684" i="1"/>
  <c r="F684" i="1"/>
  <c r="G684" i="1"/>
  <c r="H684" i="1"/>
  <c r="D685" i="1"/>
  <c r="E685" i="1"/>
  <c r="F685" i="1"/>
  <c r="G685" i="1"/>
  <c r="H685" i="1"/>
  <c r="D686" i="1"/>
  <c r="E686" i="1"/>
  <c r="F686" i="1"/>
  <c r="G686" i="1"/>
  <c r="H686" i="1"/>
  <c r="D687" i="1"/>
  <c r="E687" i="1"/>
  <c r="F687" i="1"/>
  <c r="G687" i="1"/>
  <c r="H687" i="1"/>
  <c r="D688" i="1"/>
  <c r="E688" i="1"/>
  <c r="F688" i="1"/>
  <c r="G688" i="1"/>
  <c r="H688" i="1"/>
  <c r="D689" i="1"/>
  <c r="E689" i="1"/>
  <c r="F689" i="1"/>
  <c r="G689" i="1"/>
  <c r="H689" i="1"/>
  <c r="D690" i="1"/>
  <c r="E690" i="1"/>
  <c r="F690" i="1"/>
  <c r="G690" i="1"/>
  <c r="H690" i="1"/>
  <c r="D691" i="1"/>
  <c r="E691" i="1"/>
  <c r="F691" i="1"/>
  <c r="G691" i="1"/>
  <c r="H691" i="1"/>
  <c r="D692" i="1"/>
  <c r="E692" i="1"/>
  <c r="F692" i="1"/>
  <c r="G692" i="1"/>
  <c r="H692" i="1"/>
  <c r="D693" i="1"/>
  <c r="E693" i="1"/>
  <c r="F693" i="1"/>
  <c r="G693" i="1"/>
  <c r="H693" i="1"/>
  <c r="D694" i="1"/>
  <c r="E694" i="1"/>
  <c r="F694" i="1"/>
  <c r="G694" i="1"/>
  <c r="H694" i="1"/>
  <c r="D695" i="1"/>
  <c r="E695" i="1"/>
  <c r="F695" i="1"/>
  <c r="G695" i="1"/>
  <c r="H695" i="1"/>
  <c r="D696" i="1"/>
  <c r="E696" i="1"/>
  <c r="F696" i="1"/>
  <c r="G696" i="1"/>
  <c r="H696" i="1"/>
  <c r="D697" i="1"/>
  <c r="E697" i="1"/>
  <c r="F697" i="1"/>
  <c r="G697" i="1"/>
  <c r="H697" i="1"/>
  <c r="D698" i="1"/>
  <c r="E698" i="1"/>
  <c r="F698" i="1"/>
  <c r="G698" i="1"/>
  <c r="H698" i="1"/>
  <c r="D699" i="1"/>
  <c r="E699" i="1"/>
  <c r="F699" i="1"/>
  <c r="G699" i="1"/>
  <c r="H699" i="1"/>
  <c r="D700" i="1"/>
  <c r="E700" i="1"/>
  <c r="F700" i="1"/>
  <c r="G700" i="1"/>
  <c r="H700" i="1"/>
  <c r="D701" i="1"/>
  <c r="E701" i="1"/>
  <c r="F701" i="1"/>
  <c r="G701" i="1"/>
  <c r="H701" i="1"/>
  <c r="D702" i="1"/>
  <c r="E702" i="1"/>
  <c r="F702" i="1"/>
  <c r="G702" i="1"/>
  <c r="H702" i="1"/>
  <c r="D703" i="1"/>
  <c r="E703" i="1"/>
  <c r="F703" i="1"/>
  <c r="G703" i="1"/>
  <c r="H703" i="1"/>
  <c r="D704" i="1"/>
  <c r="E704" i="1"/>
  <c r="F704" i="1"/>
  <c r="G704" i="1"/>
  <c r="H704" i="1"/>
  <c r="D705" i="1"/>
  <c r="E705" i="1"/>
  <c r="F705" i="1"/>
  <c r="G705" i="1"/>
  <c r="H705" i="1"/>
  <c r="D706" i="1"/>
  <c r="E706" i="1"/>
  <c r="F706" i="1"/>
  <c r="G706" i="1"/>
  <c r="H706" i="1"/>
  <c r="D707" i="1"/>
  <c r="E707" i="1"/>
  <c r="F707" i="1"/>
  <c r="G707" i="1"/>
  <c r="H707" i="1"/>
  <c r="D708" i="1"/>
  <c r="E708" i="1"/>
  <c r="F708" i="1"/>
  <c r="G708" i="1"/>
  <c r="H708" i="1"/>
  <c r="D709" i="1"/>
  <c r="E709" i="1"/>
  <c r="F709" i="1"/>
  <c r="G709" i="1"/>
  <c r="H709" i="1"/>
  <c r="D710" i="1"/>
  <c r="E710" i="1"/>
  <c r="F710" i="1"/>
  <c r="G710" i="1"/>
  <c r="H710" i="1"/>
  <c r="D711" i="1"/>
  <c r="E711" i="1"/>
  <c r="F711" i="1"/>
  <c r="G711" i="1"/>
  <c r="H711" i="1"/>
  <c r="D712" i="1"/>
  <c r="E712" i="1"/>
  <c r="F712" i="1"/>
  <c r="G712" i="1"/>
  <c r="H712" i="1"/>
  <c r="D713" i="1"/>
  <c r="E713" i="1"/>
  <c r="F713" i="1"/>
  <c r="G713" i="1"/>
  <c r="H713" i="1"/>
  <c r="D714" i="1"/>
  <c r="E714" i="1"/>
  <c r="F714" i="1"/>
  <c r="G714" i="1"/>
  <c r="H714" i="1"/>
  <c r="D715" i="1"/>
  <c r="E715" i="1"/>
  <c r="F715" i="1"/>
  <c r="G715" i="1"/>
  <c r="H715" i="1"/>
  <c r="D716" i="1"/>
  <c r="E716" i="1"/>
  <c r="F716" i="1"/>
  <c r="G716" i="1"/>
  <c r="H716" i="1"/>
  <c r="D717" i="1"/>
  <c r="E717" i="1"/>
  <c r="F717" i="1"/>
  <c r="G717" i="1"/>
  <c r="H717" i="1"/>
  <c r="D718" i="1"/>
  <c r="E718" i="1"/>
  <c r="F718" i="1"/>
  <c r="G718" i="1"/>
  <c r="H718" i="1"/>
  <c r="D719" i="1"/>
  <c r="E719" i="1"/>
  <c r="F719" i="1"/>
  <c r="G719" i="1"/>
  <c r="H719" i="1"/>
  <c r="D720" i="1"/>
  <c r="E720" i="1"/>
  <c r="F720" i="1"/>
  <c r="G720" i="1"/>
  <c r="H720" i="1"/>
  <c r="D721" i="1"/>
  <c r="E721" i="1"/>
  <c r="F721" i="1"/>
  <c r="G721" i="1"/>
  <c r="H721" i="1"/>
  <c r="D722" i="1"/>
  <c r="E722" i="1"/>
  <c r="F722" i="1"/>
  <c r="G722" i="1"/>
  <c r="H722" i="1"/>
  <c r="D723" i="1"/>
  <c r="E723" i="1"/>
  <c r="F723" i="1"/>
  <c r="G723" i="1"/>
  <c r="H723" i="1"/>
  <c r="D724" i="1"/>
  <c r="E724" i="1"/>
  <c r="F724" i="1"/>
  <c r="G724" i="1"/>
  <c r="H724" i="1"/>
  <c r="D725" i="1"/>
  <c r="E725" i="1"/>
  <c r="F725" i="1"/>
  <c r="G725" i="1"/>
  <c r="H725" i="1"/>
  <c r="D726" i="1"/>
  <c r="E726" i="1"/>
  <c r="F726" i="1"/>
  <c r="G726" i="1"/>
  <c r="H726" i="1"/>
  <c r="D727" i="1"/>
  <c r="E727" i="1"/>
  <c r="F727" i="1"/>
  <c r="G727" i="1"/>
  <c r="H727" i="1"/>
  <c r="D728" i="1"/>
  <c r="E728" i="1"/>
  <c r="F728" i="1"/>
  <c r="G728" i="1"/>
  <c r="H728" i="1"/>
  <c r="D729" i="1"/>
  <c r="E729" i="1"/>
  <c r="F729" i="1"/>
  <c r="G729" i="1"/>
  <c r="H729" i="1"/>
  <c r="D730" i="1"/>
  <c r="E730" i="1"/>
  <c r="F730" i="1"/>
  <c r="G730" i="1"/>
  <c r="H730" i="1"/>
  <c r="D731" i="1"/>
  <c r="E731" i="1"/>
  <c r="F731" i="1"/>
  <c r="G731" i="1"/>
  <c r="H731" i="1"/>
  <c r="D732" i="1"/>
  <c r="E732" i="1"/>
  <c r="F732" i="1"/>
  <c r="G732" i="1"/>
  <c r="H732" i="1"/>
  <c r="D733" i="1"/>
  <c r="E733" i="1"/>
  <c r="F733" i="1"/>
  <c r="G733" i="1"/>
  <c r="H733" i="1"/>
  <c r="D734" i="1"/>
  <c r="E734" i="1"/>
  <c r="F734" i="1"/>
  <c r="G734" i="1"/>
  <c r="H734" i="1"/>
  <c r="D735" i="1"/>
  <c r="E735" i="1"/>
  <c r="F735" i="1"/>
  <c r="G735" i="1"/>
  <c r="H735" i="1"/>
  <c r="D736" i="1"/>
  <c r="E736" i="1"/>
  <c r="F736" i="1"/>
  <c r="G736" i="1"/>
  <c r="H736" i="1"/>
  <c r="D737" i="1"/>
  <c r="E737" i="1"/>
  <c r="F737" i="1"/>
  <c r="G737" i="1"/>
  <c r="H737" i="1"/>
  <c r="D738" i="1"/>
  <c r="E738" i="1"/>
  <c r="F738" i="1"/>
  <c r="G738" i="1"/>
  <c r="H738" i="1"/>
  <c r="D739" i="1"/>
  <c r="E739" i="1"/>
  <c r="F739" i="1"/>
  <c r="G739" i="1"/>
  <c r="H739" i="1"/>
  <c r="D740" i="1"/>
  <c r="E740" i="1"/>
  <c r="F740" i="1"/>
  <c r="G740" i="1"/>
  <c r="H740" i="1"/>
  <c r="D741" i="1"/>
  <c r="E741" i="1"/>
  <c r="F741" i="1"/>
  <c r="G741" i="1"/>
  <c r="H741" i="1"/>
  <c r="D742" i="1"/>
  <c r="E742" i="1"/>
  <c r="F742" i="1"/>
  <c r="G742" i="1"/>
  <c r="H742" i="1"/>
  <c r="D743" i="1"/>
  <c r="E743" i="1"/>
  <c r="F743" i="1"/>
  <c r="G743" i="1"/>
  <c r="H743" i="1"/>
  <c r="D744" i="1"/>
  <c r="E744" i="1"/>
  <c r="F744" i="1"/>
  <c r="G744" i="1"/>
  <c r="H744" i="1"/>
  <c r="D745" i="1"/>
  <c r="E745" i="1"/>
  <c r="F745" i="1"/>
  <c r="G745" i="1"/>
  <c r="H745" i="1"/>
  <c r="D746" i="1"/>
  <c r="E746" i="1"/>
  <c r="F746" i="1"/>
  <c r="G746" i="1"/>
  <c r="H746" i="1"/>
  <c r="D747" i="1"/>
  <c r="E747" i="1"/>
  <c r="F747" i="1"/>
  <c r="G747" i="1"/>
  <c r="H747" i="1"/>
  <c r="D748" i="1"/>
  <c r="E748" i="1"/>
  <c r="F748" i="1"/>
  <c r="G748" i="1"/>
  <c r="H748" i="1"/>
  <c r="D749" i="1"/>
  <c r="E749" i="1"/>
  <c r="F749" i="1"/>
  <c r="G749" i="1"/>
  <c r="H749" i="1"/>
  <c r="D750" i="1"/>
  <c r="E750" i="1"/>
  <c r="F750" i="1"/>
  <c r="G750" i="1"/>
  <c r="H750" i="1"/>
  <c r="D751" i="1"/>
  <c r="E751" i="1"/>
  <c r="F751" i="1"/>
  <c r="G751" i="1"/>
  <c r="H751" i="1"/>
  <c r="D752" i="1"/>
  <c r="E752" i="1"/>
  <c r="F752" i="1"/>
  <c r="G752" i="1"/>
  <c r="H752" i="1"/>
  <c r="D753" i="1"/>
  <c r="E753" i="1"/>
  <c r="F753" i="1"/>
  <c r="G753" i="1"/>
  <c r="H753" i="1"/>
  <c r="D754" i="1"/>
  <c r="E754" i="1"/>
  <c r="F754" i="1"/>
  <c r="G754" i="1"/>
  <c r="H754" i="1"/>
  <c r="D755" i="1"/>
  <c r="E755" i="1"/>
  <c r="F755" i="1"/>
  <c r="G755" i="1"/>
  <c r="H755" i="1"/>
  <c r="D756" i="1"/>
  <c r="E756" i="1"/>
  <c r="F756" i="1"/>
  <c r="G756" i="1"/>
  <c r="H756" i="1"/>
  <c r="D757" i="1"/>
  <c r="E757" i="1"/>
  <c r="F757" i="1"/>
  <c r="G757" i="1"/>
  <c r="H757" i="1"/>
  <c r="D758" i="1"/>
  <c r="E758" i="1"/>
  <c r="F758" i="1"/>
  <c r="G758" i="1"/>
  <c r="H758" i="1"/>
  <c r="D759" i="1"/>
  <c r="E759" i="1"/>
  <c r="F759" i="1"/>
  <c r="G759" i="1"/>
  <c r="H759" i="1"/>
  <c r="D760" i="1"/>
  <c r="E760" i="1"/>
  <c r="F760" i="1"/>
  <c r="G760" i="1"/>
  <c r="H760" i="1"/>
  <c r="D761" i="1"/>
  <c r="E761" i="1"/>
  <c r="F761" i="1"/>
  <c r="G761" i="1"/>
  <c r="H761" i="1"/>
  <c r="D762" i="1"/>
  <c r="E762" i="1"/>
  <c r="F762" i="1"/>
  <c r="G762" i="1"/>
  <c r="H762" i="1"/>
  <c r="D763" i="1"/>
  <c r="E763" i="1"/>
  <c r="F763" i="1"/>
  <c r="G763" i="1"/>
  <c r="H763" i="1"/>
  <c r="D764" i="1"/>
  <c r="E764" i="1"/>
  <c r="F764" i="1"/>
  <c r="G764" i="1"/>
  <c r="H764" i="1"/>
  <c r="D765" i="1"/>
  <c r="E765" i="1"/>
  <c r="F765" i="1"/>
  <c r="G765" i="1"/>
  <c r="H765" i="1"/>
  <c r="D766" i="1"/>
  <c r="E766" i="1"/>
  <c r="F766" i="1"/>
  <c r="G766" i="1"/>
  <c r="H766" i="1"/>
  <c r="D767" i="1"/>
  <c r="E767" i="1"/>
  <c r="F767" i="1"/>
  <c r="G767" i="1"/>
  <c r="H767" i="1"/>
  <c r="D768" i="1"/>
  <c r="E768" i="1"/>
  <c r="F768" i="1"/>
  <c r="G768" i="1"/>
  <c r="H768" i="1"/>
  <c r="D769" i="1"/>
  <c r="E769" i="1"/>
  <c r="F769" i="1"/>
  <c r="G769" i="1"/>
  <c r="H769" i="1"/>
  <c r="D770" i="1"/>
  <c r="E770" i="1"/>
  <c r="F770" i="1"/>
  <c r="G770" i="1"/>
  <c r="H770" i="1"/>
  <c r="D771" i="1"/>
  <c r="E771" i="1"/>
  <c r="F771" i="1"/>
  <c r="G771" i="1"/>
  <c r="H771" i="1"/>
  <c r="D772" i="1"/>
  <c r="E772" i="1"/>
  <c r="F772" i="1"/>
  <c r="G772" i="1"/>
  <c r="H772" i="1"/>
  <c r="D773" i="1"/>
  <c r="E773" i="1"/>
  <c r="F773" i="1"/>
  <c r="G773" i="1"/>
  <c r="H773" i="1"/>
  <c r="D774" i="1"/>
  <c r="E774" i="1"/>
  <c r="F774" i="1"/>
  <c r="G774" i="1"/>
  <c r="H774" i="1"/>
  <c r="D775" i="1"/>
  <c r="E775" i="1"/>
  <c r="F775" i="1"/>
  <c r="G775" i="1"/>
  <c r="H775" i="1"/>
  <c r="D776" i="1"/>
  <c r="E776" i="1"/>
  <c r="F776" i="1"/>
  <c r="G776" i="1"/>
  <c r="H776" i="1"/>
  <c r="D777" i="1"/>
  <c r="E777" i="1"/>
  <c r="F777" i="1"/>
  <c r="G777" i="1"/>
  <c r="H777" i="1"/>
  <c r="D778" i="1"/>
  <c r="E778" i="1"/>
  <c r="F778" i="1"/>
  <c r="G778" i="1"/>
  <c r="H778" i="1"/>
  <c r="D779" i="1"/>
  <c r="E779" i="1"/>
  <c r="F779" i="1"/>
  <c r="G779" i="1"/>
  <c r="H779" i="1"/>
  <c r="D780" i="1"/>
  <c r="E780" i="1"/>
  <c r="F780" i="1"/>
  <c r="G780" i="1"/>
  <c r="H780" i="1"/>
  <c r="D781" i="1"/>
  <c r="E781" i="1"/>
  <c r="F781" i="1"/>
  <c r="G781" i="1"/>
  <c r="H781" i="1"/>
  <c r="D782" i="1"/>
  <c r="E782" i="1"/>
  <c r="F782" i="1"/>
  <c r="G782" i="1"/>
  <c r="H782" i="1"/>
  <c r="D783" i="1"/>
  <c r="E783" i="1"/>
  <c r="F783" i="1"/>
  <c r="G783" i="1"/>
  <c r="H783" i="1"/>
  <c r="D784" i="1"/>
  <c r="E784" i="1"/>
  <c r="F784" i="1"/>
  <c r="G784" i="1"/>
  <c r="H784" i="1"/>
  <c r="D785" i="1"/>
  <c r="E785" i="1"/>
  <c r="F785" i="1"/>
  <c r="G785" i="1"/>
  <c r="H785" i="1"/>
  <c r="D786" i="1"/>
  <c r="E786" i="1"/>
  <c r="F786" i="1"/>
  <c r="G786" i="1"/>
  <c r="H786" i="1"/>
  <c r="D787" i="1"/>
  <c r="E787" i="1"/>
  <c r="F787" i="1"/>
  <c r="G787" i="1"/>
  <c r="H787" i="1"/>
  <c r="D788" i="1"/>
  <c r="E788" i="1"/>
  <c r="F788" i="1"/>
  <c r="G788" i="1"/>
  <c r="H788" i="1"/>
  <c r="D789" i="1"/>
  <c r="E789" i="1"/>
  <c r="F789" i="1"/>
  <c r="G789" i="1"/>
  <c r="H789" i="1"/>
  <c r="D790" i="1"/>
  <c r="E790" i="1"/>
  <c r="F790" i="1"/>
  <c r="G790" i="1"/>
  <c r="H790" i="1"/>
  <c r="D791" i="1"/>
  <c r="E791" i="1"/>
  <c r="F791" i="1"/>
  <c r="G791" i="1"/>
  <c r="H791" i="1"/>
  <c r="D792" i="1"/>
  <c r="E792" i="1"/>
  <c r="F792" i="1"/>
  <c r="G792" i="1"/>
  <c r="H792" i="1"/>
  <c r="D793" i="1"/>
  <c r="E793" i="1"/>
  <c r="F793" i="1"/>
  <c r="G793" i="1"/>
  <c r="H793" i="1"/>
  <c r="D794" i="1"/>
  <c r="E794" i="1"/>
  <c r="F794" i="1"/>
  <c r="G794" i="1"/>
  <c r="H794" i="1"/>
  <c r="D795" i="1"/>
  <c r="E795" i="1"/>
  <c r="F795" i="1"/>
  <c r="G795" i="1"/>
  <c r="H795" i="1"/>
  <c r="D796" i="1"/>
  <c r="E796" i="1"/>
  <c r="F796" i="1"/>
  <c r="G796" i="1"/>
  <c r="H796" i="1"/>
  <c r="D797" i="1"/>
  <c r="E797" i="1"/>
  <c r="F797" i="1"/>
  <c r="G797" i="1"/>
  <c r="H797" i="1"/>
  <c r="D798" i="1"/>
  <c r="E798" i="1"/>
  <c r="F798" i="1"/>
  <c r="G798" i="1"/>
  <c r="H798" i="1"/>
  <c r="D799" i="1"/>
  <c r="E799" i="1"/>
  <c r="F799" i="1"/>
  <c r="G799" i="1"/>
  <c r="H799" i="1"/>
  <c r="D800" i="1"/>
  <c r="E800" i="1"/>
  <c r="F800" i="1"/>
  <c r="G800" i="1"/>
  <c r="H800" i="1"/>
  <c r="D801" i="1"/>
  <c r="E801" i="1"/>
  <c r="F801" i="1"/>
  <c r="G801" i="1"/>
  <c r="H801" i="1"/>
  <c r="D802" i="1"/>
  <c r="E802" i="1"/>
  <c r="F802" i="1"/>
  <c r="G802" i="1"/>
  <c r="H802" i="1"/>
  <c r="D803" i="1"/>
  <c r="E803" i="1"/>
  <c r="F803" i="1"/>
  <c r="G803" i="1"/>
  <c r="H803" i="1"/>
  <c r="D804" i="1"/>
  <c r="E804" i="1"/>
  <c r="F804" i="1"/>
  <c r="G804" i="1"/>
  <c r="H804" i="1"/>
  <c r="D805" i="1"/>
  <c r="E805" i="1"/>
  <c r="F805" i="1"/>
  <c r="G805" i="1"/>
  <c r="H805" i="1"/>
  <c r="D806" i="1"/>
  <c r="E806" i="1"/>
  <c r="F806" i="1"/>
  <c r="G806" i="1"/>
  <c r="H806" i="1"/>
  <c r="D807" i="1"/>
  <c r="E807" i="1"/>
  <c r="F807" i="1"/>
  <c r="G807" i="1"/>
  <c r="H807" i="1"/>
  <c r="D808" i="1"/>
  <c r="E808" i="1"/>
  <c r="F808" i="1"/>
  <c r="G808" i="1"/>
  <c r="H808" i="1"/>
  <c r="D809" i="1"/>
  <c r="E809" i="1"/>
  <c r="F809" i="1"/>
  <c r="G809" i="1"/>
  <c r="H809" i="1"/>
  <c r="D810" i="1"/>
  <c r="E810" i="1"/>
  <c r="F810" i="1"/>
  <c r="G810" i="1"/>
  <c r="H810" i="1"/>
  <c r="D811" i="1"/>
  <c r="E811" i="1"/>
  <c r="F811" i="1"/>
  <c r="G811" i="1"/>
  <c r="H811" i="1"/>
  <c r="D812" i="1"/>
  <c r="E812" i="1"/>
  <c r="F812" i="1"/>
  <c r="G812" i="1"/>
  <c r="H812" i="1"/>
  <c r="D813" i="1"/>
  <c r="E813" i="1"/>
  <c r="F813" i="1"/>
  <c r="G813" i="1"/>
  <c r="H813" i="1"/>
  <c r="D814" i="1"/>
  <c r="E814" i="1"/>
  <c r="F814" i="1"/>
  <c r="G814" i="1"/>
  <c r="H814" i="1"/>
  <c r="D815" i="1"/>
  <c r="E815" i="1"/>
  <c r="F815" i="1"/>
  <c r="G815" i="1"/>
  <c r="H815" i="1"/>
  <c r="D816" i="1"/>
  <c r="E816" i="1"/>
  <c r="F816" i="1"/>
  <c r="G816" i="1"/>
  <c r="H816" i="1"/>
  <c r="D817" i="1"/>
  <c r="E817" i="1"/>
  <c r="F817" i="1"/>
  <c r="G817" i="1"/>
  <c r="H817" i="1"/>
  <c r="D818" i="1"/>
  <c r="E818" i="1"/>
  <c r="F818" i="1"/>
  <c r="G818" i="1"/>
  <c r="H818" i="1"/>
  <c r="D819" i="1"/>
  <c r="E819" i="1"/>
  <c r="F819" i="1"/>
  <c r="G819" i="1"/>
  <c r="H819" i="1"/>
  <c r="D820" i="1"/>
  <c r="E820" i="1"/>
  <c r="F820" i="1"/>
  <c r="G820" i="1"/>
  <c r="H820" i="1"/>
  <c r="D821" i="1"/>
  <c r="E821" i="1"/>
  <c r="F821" i="1"/>
  <c r="G821" i="1"/>
  <c r="H821" i="1"/>
  <c r="D822" i="1"/>
  <c r="E822" i="1"/>
  <c r="F822" i="1"/>
  <c r="G822" i="1"/>
  <c r="H822" i="1"/>
  <c r="D823" i="1"/>
  <c r="E823" i="1"/>
  <c r="F823" i="1"/>
  <c r="G823" i="1"/>
  <c r="H823" i="1"/>
  <c r="D824" i="1"/>
  <c r="E824" i="1"/>
  <c r="F824" i="1"/>
  <c r="G824" i="1"/>
  <c r="H824" i="1"/>
  <c r="D825" i="1"/>
  <c r="E825" i="1"/>
  <c r="F825" i="1"/>
  <c r="G825" i="1"/>
  <c r="H825" i="1"/>
  <c r="D826" i="1"/>
  <c r="E826" i="1"/>
  <c r="F826" i="1"/>
  <c r="G826" i="1"/>
  <c r="H826" i="1"/>
  <c r="D827" i="1"/>
  <c r="E827" i="1"/>
  <c r="F827" i="1"/>
  <c r="G827" i="1"/>
  <c r="H827" i="1"/>
  <c r="D828" i="1"/>
  <c r="E828" i="1"/>
  <c r="F828" i="1"/>
  <c r="G828" i="1"/>
  <c r="H828" i="1"/>
  <c r="D829" i="1"/>
  <c r="E829" i="1"/>
  <c r="F829" i="1"/>
  <c r="G829" i="1"/>
  <c r="H829" i="1"/>
  <c r="D830" i="1"/>
  <c r="E830" i="1"/>
  <c r="F830" i="1"/>
  <c r="G830" i="1"/>
  <c r="H830" i="1"/>
  <c r="D831" i="1"/>
  <c r="E831" i="1"/>
  <c r="F831" i="1"/>
  <c r="G831" i="1"/>
  <c r="H831" i="1"/>
  <c r="D832" i="1"/>
  <c r="E832" i="1"/>
  <c r="F832" i="1"/>
  <c r="G832" i="1"/>
  <c r="H832" i="1"/>
  <c r="D833" i="1"/>
  <c r="E833" i="1"/>
  <c r="F833" i="1"/>
  <c r="G833" i="1"/>
  <c r="H833" i="1"/>
  <c r="D834" i="1"/>
  <c r="E834" i="1"/>
  <c r="F834" i="1"/>
  <c r="G834" i="1"/>
  <c r="H834" i="1"/>
  <c r="D835" i="1"/>
  <c r="E835" i="1"/>
  <c r="F835" i="1"/>
  <c r="G835" i="1"/>
  <c r="H835" i="1"/>
  <c r="D836" i="1"/>
  <c r="E836" i="1"/>
  <c r="F836" i="1"/>
  <c r="G836" i="1"/>
  <c r="H836" i="1"/>
  <c r="D837" i="1"/>
  <c r="E837" i="1"/>
  <c r="F837" i="1"/>
  <c r="G837" i="1"/>
  <c r="H837" i="1"/>
  <c r="D838" i="1"/>
  <c r="E838" i="1"/>
  <c r="F838" i="1"/>
  <c r="G838" i="1"/>
  <c r="H838" i="1"/>
  <c r="D839" i="1"/>
  <c r="E839" i="1"/>
  <c r="F839" i="1"/>
  <c r="G839" i="1"/>
  <c r="H839" i="1"/>
  <c r="D840" i="1"/>
  <c r="E840" i="1"/>
  <c r="F840" i="1"/>
  <c r="G840" i="1"/>
  <c r="H840" i="1"/>
  <c r="D841" i="1"/>
  <c r="E841" i="1"/>
  <c r="F841" i="1"/>
  <c r="G841" i="1"/>
  <c r="H841" i="1"/>
  <c r="D842" i="1"/>
  <c r="E842" i="1"/>
  <c r="F842" i="1"/>
  <c r="G842" i="1"/>
  <c r="H842" i="1"/>
  <c r="D843" i="1"/>
  <c r="E843" i="1"/>
  <c r="F843" i="1"/>
  <c r="G843" i="1"/>
  <c r="H843" i="1"/>
  <c r="D844" i="1"/>
  <c r="E844" i="1"/>
  <c r="F844" i="1"/>
  <c r="G844" i="1"/>
  <c r="H844" i="1"/>
  <c r="D845" i="1"/>
  <c r="E845" i="1"/>
  <c r="F845" i="1"/>
  <c r="G845" i="1"/>
  <c r="H845" i="1"/>
  <c r="D846" i="1"/>
  <c r="E846" i="1"/>
  <c r="F846" i="1"/>
  <c r="G846" i="1"/>
  <c r="H846" i="1"/>
  <c r="D847" i="1"/>
  <c r="E847" i="1"/>
  <c r="F847" i="1"/>
  <c r="G847" i="1"/>
  <c r="H847" i="1"/>
  <c r="D848" i="1"/>
  <c r="E848" i="1"/>
  <c r="F848" i="1"/>
  <c r="G848" i="1"/>
  <c r="H848" i="1"/>
  <c r="D849" i="1"/>
  <c r="E849" i="1"/>
  <c r="F849" i="1"/>
  <c r="G849" i="1"/>
  <c r="H849" i="1"/>
  <c r="D850" i="1"/>
  <c r="E850" i="1"/>
  <c r="F850" i="1"/>
  <c r="G850" i="1"/>
  <c r="H850" i="1"/>
  <c r="D851" i="1"/>
  <c r="E851" i="1"/>
  <c r="F851" i="1"/>
  <c r="G851" i="1"/>
  <c r="H851" i="1"/>
  <c r="D852" i="1"/>
  <c r="E852" i="1"/>
  <c r="F852" i="1"/>
  <c r="G852" i="1"/>
  <c r="H852" i="1"/>
  <c r="D853" i="1"/>
  <c r="E853" i="1"/>
  <c r="F853" i="1"/>
  <c r="G853" i="1"/>
  <c r="H853" i="1"/>
  <c r="D854" i="1"/>
  <c r="E854" i="1"/>
  <c r="F854" i="1"/>
  <c r="G854" i="1"/>
  <c r="H854" i="1"/>
  <c r="D855" i="1"/>
  <c r="E855" i="1"/>
  <c r="F855" i="1"/>
  <c r="G855" i="1"/>
  <c r="H855" i="1"/>
  <c r="D856" i="1"/>
  <c r="E856" i="1"/>
  <c r="F856" i="1"/>
  <c r="G856" i="1"/>
  <c r="H856" i="1"/>
  <c r="D857" i="1"/>
  <c r="E857" i="1"/>
  <c r="F857" i="1"/>
  <c r="G857" i="1"/>
  <c r="H857" i="1"/>
  <c r="D858" i="1"/>
  <c r="E858" i="1"/>
  <c r="F858" i="1"/>
  <c r="G858" i="1"/>
  <c r="H858" i="1"/>
  <c r="D859" i="1"/>
  <c r="E859" i="1"/>
  <c r="F859" i="1"/>
  <c r="G859" i="1"/>
  <c r="H859" i="1"/>
  <c r="D860" i="1"/>
  <c r="E860" i="1"/>
  <c r="F860" i="1"/>
  <c r="G860" i="1"/>
  <c r="H860" i="1"/>
  <c r="D861" i="1"/>
  <c r="E861" i="1"/>
  <c r="F861" i="1"/>
  <c r="G861" i="1"/>
  <c r="H861" i="1"/>
  <c r="D862" i="1"/>
  <c r="E862" i="1"/>
  <c r="F862" i="1"/>
  <c r="G862" i="1"/>
  <c r="H862" i="1"/>
  <c r="D863" i="1"/>
  <c r="E863" i="1"/>
  <c r="F863" i="1"/>
  <c r="G863" i="1"/>
  <c r="H863" i="1"/>
  <c r="D864" i="1"/>
  <c r="E864" i="1"/>
  <c r="F864" i="1"/>
  <c r="G864" i="1"/>
  <c r="H864" i="1"/>
  <c r="D865" i="1"/>
  <c r="E865" i="1"/>
  <c r="F865" i="1"/>
  <c r="G865" i="1"/>
  <c r="H865" i="1"/>
  <c r="D866" i="1"/>
  <c r="E866" i="1"/>
  <c r="F866" i="1"/>
  <c r="G866" i="1"/>
  <c r="H866" i="1"/>
  <c r="D867" i="1"/>
  <c r="E867" i="1"/>
  <c r="F867" i="1"/>
  <c r="G867" i="1"/>
  <c r="H867" i="1"/>
  <c r="D868" i="1"/>
  <c r="E868" i="1"/>
  <c r="F868" i="1"/>
  <c r="G868" i="1"/>
  <c r="H868" i="1"/>
  <c r="D869" i="1"/>
  <c r="E869" i="1"/>
  <c r="F869" i="1"/>
  <c r="G869" i="1"/>
  <c r="H869" i="1"/>
  <c r="D870" i="1"/>
  <c r="E870" i="1"/>
  <c r="F870" i="1"/>
  <c r="G870" i="1"/>
  <c r="H870" i="1"/>
  <c r="D871" i="1"/>
  <c r="E871" i="1"/>
  <c r="F871" i="1"/>
  <c r="G871" i="1"/>
  <c r="H871" i="1"/>
  <c r="D872" i="1"/>
  <c r="E872" i="1"/>
  <c r="F872" i="1"/>
  <c r="G872" i="1"/>
  <c r="H872" i="1"/>
  <c r="D873" i="1"/>
  <c r="E873" i="1"/>
  <c r="F873" i="1"/>
  <c r="G873" i="1"/>
  <c r="H873" i="1"/>
  <c r="D874" i="1"/>
  <c r="E874" i="1"/>
  <c r="F874" i="1"/>
  <c r="G874" i="1"/>
  <c r="H874" i="1"/>
  <c r="D875" i="1"/>
  <c r="E875" i="1"/>
  <c r="F875" i="1"/>
  <c r="G875" i="1"/>
  <c r="H875" i="1"/>
  <c r="D876" i="1"/>
  <c r="E876" i="1"/>
  <c r="F876" i="1"/>
  <c r="G876" i="1"/>
  <c r="H876" i="1"/>
  <c r="D877" i="1"/>
  <c r="E877" i="1"/>
  <c r="F877" i="1"/>
  <c r="G877" i="1"/>
  <c r="H877" i="1"/>
  <c r="D878" i="1"/>
  <c r="E878" i="1"/>
  <c r="F878" i="1"/>
  <c r="G878" i="1"/>
  <c r="H878" i="1"/>
  <c r="D879" i="1"/>
  <c r="E879" i="1"/>
  <c r="F879" i="1"/>
  <c r="G879" i="1"/>
  <c r="H879" i="1"/>
  <c r="D880" i="1"/>
  <c r="E880" i="1"/>
  <c r="F880" i="1"/>
  <c r="G880" i="1"/>
  <c r="H880" i="1"/>
  <c r="D881" i="1"/>
  <c r="E881" i="1"/>
  <c r="F881" i="1"/>
  <c r="G881" i="1"/>
  <c r="H881" i="1"/>
  <c r="D882" i="1"/>
  <c r="E882" i="1"/>
  <c r="F882" i="1"/>
  <c r="G882" i="1"/>
  <c r="H882" i="1"/>
  <c r="D883" i="1"/>
  <c r="E883" i="1"/>
  <c r="F883" i="1"/>
  <c r="G883" i="1"/>
  <c r="H883" i="1"/>
  <c r="D884" i="1"/>
  <c r="E884" i="1"/>
  <c r="F884" i="1"/>
  <c r="G884" i="1"/>
  <c r="H884" i="1"/>
  <c r="D885" i="1"/>
  <c r="E885" i="1"/>
  <c r="F885" i="1"/>
  <c r="G885" i="1"/>
  <c r="H885" i="1"/>
  <c r="D886" i="1"/>
  <c r="E886" i="1"/>
  <c r="F886" i="1"/>
  <c r="G886" i="1"/>
  <c r="H886" i="1"/>
  <c r="D887" i="1"/>
  <c r="E887" i="1"/>
  <c r="F887" i="1"/>
  <c r="G887" i="1"/>
  <c r="H887" i="1"/>
  <c r="D888" i="1"/>
  <c r="E888" i="1"/>
  <c r="F888" i="1"/>
  <c r="G888" i="1"/>
  <c r="H888" i="1"/>
  <c r="D889" i="1"/>
  <c r="E889" i="1"/>
  <c r="F889" i="1"/>
  <c r="G889" i="1"/>
  <c r="H889" i="1"/>
  <c r="D890" i="1"/>
  <c r="E890" i="1"/>
  <c r="F890" i="1"/>
  <c r="G890" i="1"/>
  <c r="H890" i="1"/>
  <c r="D891" i="1"/>
  <c r="E891" i="1"/>
  <c r="F891" i="1"/>
  <c r="G891" i="1"/>
  <c r="H891" i="1"/>
  <c r="D892" i="1"/>
  <c r="E892" i="1"/>
  <c r="F892" i="1"/>
  <c r="G892" i="1"/>
  <c r="H892" i="1"/>
  <c r="D893" i="1"/>
  <c r="E893" i="1"/>
  <c r="F893" i="1"/>
  <c r="G893" i="1"/>
  <c r="H893" i="1"/>
  <c r="D894" i="1"/>
  <c r="E894" i="1"/>
  <c r="F894" i="1"/>
  <c r="G894" i="1"/>
  <c r="H894" i="1"/>
  <c r="D895" i="1"/>
  <c r="E895" i="1"/>
  <c r="F895" i="1"/>
  <c r="G895" i="1"/>
  <c r="H895" i="1"/>
  <c r="D896" i="1"/>
  <c r="E896" i="1"/>
  <c r="F896" i="1"/>
  <c r="G896" i="1"/>
  <c r="H896" i="1"/>
  <c r="D897" i="1"/>
  <c r="E897" i="1"/>
  <c r="F897" i="1"/>
  <c r="G897" i="1"/>
  <c r="H897" i="1"/>
  <c r="D898" i="1"/>
  <c r="E898" i="1"/>
  <c r="F898" i="1"/>
  <c r="G898" i="1"/>
  <c r="H898" i="1"/>
  <c r="D899" i="1"/>
  <c r="E899" i="1"/>
  <c r="F899" i="1"/>
  <c r="G899" i="1"/>
  <c r="H899" i="1"/>
  <c r="D900" i="1"/>
  <c r="E900" i="1"/>
  <c r="F900" i="1"/>
  <c r="G900" i="1"/>
  <c r="H900" i="1"/>
  <c r="D901" i="1"/>
  <c r="E901" i="1"/>
  <c r="F901" i="1"/>
  <c r="G901" i="1"/>
  <c r="H901" i="1"/>
  <c r="D902" i="1"/>
  <c r="E902" i="1"/>
  <c r="F902" i="1"/>
  <c r="G902" i="1"/>
  <c r="H902" i="1"/>
  <c r="D903" i="1"/>
  <c r="E903" i="1"/>
  <c r="F903" i="1"/>
  <c r="G903" i="1"/>
  <c r="H903" i="1"/>
  <c r="D904" i="1"/>
  <c r="E904" i="1"/>
  <c r="F904" i="1"/>
  <c r="G904" i="1"/>
  <c r="H904" i="1"/>
  <c r="D905" i="1"/>
  <c r="E905" i="1"/>
  <c r="F905" i="1"/>
  <c r="G905" i="1"/>
  <c r="H905" i="1"/>
  <c r="D906" i="1"/>
  <c r="E906" i="1"/>
  <c r="F906" i="1"/>
  <c r="G906" i="1"/>
  <c r="H906" i="1"/>
  <c r="D907" i="1"/>
  <c r="E907" i="1"/>
  <c r="F907" i="1"/>
  <c r="G907" i="1"/>
  <c r="H907" i="1"/>
  <c r="D908" i="1"/>
  <c r="E908" i="1"/>
  <c r="F908" i="1"/>
  <c r="G908" i="1"/>
  <c r="H908" i="1"/>
  <c r="D909" i="1"/>
  <c r="E909" i="1"/>
  <c r="F909" i="1"/>
  <c r="G909" i="1"/>
  <c r="H909" i="1"/>
  <c r="D910" i="1"/>
  <c r="E910" i="1"/>
  <c r="F910" i="1"/>
  <c r="G910" i="1"/>
  <c r="H910" i="1"/>
  <c r="D911" i="1"/>
  <c r="E911" i="1"/>
  <c r="F911" i="1"/>
  <c r="G911" i="1"/>
  <c r="H911" i="1"/>
  <c r="D912" i="1"/>
  <c r="E912" i="1"/>
  <c r="F912" i="1"/>
  <c r="G912" i="1"/>
  <c r="H912" i="1"/>
  <c r="D913" i="1"/>
  <c r="E913" i="1"/>
  <c r="F913" i="1"/>
  <c r="G913" i="1"/>
  <c r="H913" i="1"/>
  <c r="D914" i="1"/>
  <c r="E914" i="1"/>
  <c r="F914" i="1"/>
  <c r="G914" i="1"/>
  <c r="H914" i="1"/>
  <c r="D915" i="1"/>
  <c r="E915" i="1"/>
  <c r="F915" i="1"/>
  <c r="G915" i="1"/>
  <c r="H915" i="1"/>
  <c r="D916" i="1"/>
  <c r="E916" i="1"/>
  <c r="F916" i="1"/>
  <c r="G916" i="1"/>
  <c r="H916" i="1"/>
  <c r="D917" i="1"/>
  <c r="E917" i="1"/>
  <c r="F917" i="1"/>
  <c r="G917" i="1"/>
  <c r="H917" i="1"/>
  <c r="D918" i="1"/>
  <c r="E918" i="1"/>
  <c r="F918" i="1"/>
  <c r="G918" i="1"/>
  <c r="H918" i="1"/>
  <c r="D919" i="1"/>
  <c r="E919" i="1"/>
  <c r="F919" i="1"/>
  <c r="G919" i="1"/>
  <c r="H919" i="1"/>
  <c r="D920" i="1"/>
  <c r="E920" i="1"/>
  <c r="F920" i="1"/>
  <c r="G920" i="1"/>
  <c r="H920" i="1"/>
  <c r="D921" i="1"/>
  <c r="E921" i="1"/>
  <c r="F921" i="1"/>
  <c r="G921" i="1"/>
  <c r="H921" i="1"/>
  <c r="D922" i="1"/>
  <c r="E922" i="1"/>
  <c r="F922" i="1"/>
  <c r="G922" i="1"/>
  <c r="H922" i="1"/>
  <c r="D923" i="1"/>
  <c r="E923" i="1"/>
  <c r="F923" i="1"/>
  <c r="G923" i="1"/>
  <c r="H923" i="1"/>
  <c r="D924" i="1"/>
  <c r="E924" i="1"/>
  <c r="F924" i="1"/>
  <c r="G924" i="1"/>
  <c r="H924" i="1"/>
  <c r="D925" i="1"/>
  <c r="E925" i="1"/>
  <c r="F925" i="1"/>
  <c r="G925" i="1"/>
  <c r="H925" i="1"/>
  <c r="D926" i="1"/>
  <c r="E926" i="1"/>
  <c r="F926" i="1"/>
  <c r="G926" i="1"/>
  <c r="H926" i="1"/>
  <c r="D927" i="1"/>
  <c r="E927" i="1"/>
  <c r="F927" i="1"/>
  <c r="G927" i="1"/>
  <c r="H927" i="1"/>
  <c r="D928" i="1"/>
  <c r="E928" i="1"/>
  <c r="F928" i="1"/>
  <c r="G928" i="1"/>
  <c r="H928" i="1"/>
  <c r="D929" i="1"/>
  <c r="E929" i="1"/>
  <c r="F929" i="1"/>
  <c r="G929" i="1"/>
  <c r="H929" i="1"/>
  <c r="D930" i="1"/>
  <c r="E930" i="1"/>
  <c r="F930" i="1"/>
  <c r="G930" i="1"/>
  <c r="H930" i="1"/>
  <c r="D931" i="1"/>
  <c r="E931" i="1"/>
  <c r="F931" i="1"/>
  <c r="G931" i="1"/>
  <c r="H931" i="1"/>
  <c r="D932" i="1"/>
  <c r="E932" i="1"/>
  <c r="F932" i="1"/>
  <c r="G932" i="1"/>
  <c r="H932" i="1"/>
  <c r="D933" i="1"/>
  <c r="E933" i="1"/>
  <c r="F933" i="1"/>
  <c r="G933" i="1"/>
  <c r="H933" i="1"/>
  <c r="D934" i="1"/>
  <c r="E934" i="1"/>
  <c r="F934" i="1"/>
  <c r="G934" i="1"/>
  <c r="H934" i="1"/>
  <c r="D935" i="1"/>
  <c r="E935" i="1"/>
  <c r="F935" i="1"/>
  <c r="G935" i="1"/>
  <c r="H935" i="1"/>
  <c r="D936" i="1"/>
  <c r="E936" i="1"/>
  <c r="F936" i="1"/>
  <c r="G936" i="1"/>
  <c r="H936" i="1"/>
  <c r="D937" i="1"/>
  <c r="E937" i="1"/>
  <c r="F937" i="1"/>
  <c r="G937" i="1"/>
  <c r="H937" i="1"/>
  <c r="D938" i="1"/>
  <c r="E938" i="1"/>
  <c r="F938" i="1"/>
  <c r="G938" i="1"/>
  <c r="H938" i="1"/>
  <c r="D939" i="1"/>
  <c r="E939" i="1"/>
  <c r="F939" i="1"/>
  <c r="G939" i="1"/>
  <c r="H939" i="1"/>
  <c r="D940" i="1"/>
  <c r="E940" i="1"/>
  <c r="F940" i="1"/>
  <c r="G940" i="1"/>
  <c r="H940" i="1"/>
  <c r="D941" i="1"/>
  <c r="E941" i="1"/>
  <c r="F941" i="1"/>
  <c r="G941" i="1"/>
  <c r="H941" i="1"/>
  <c r="D942" i="1"/>
  <c r="E942" i="1"/>
  <c r="F942" i="1"/>
  <c r="G942" i="1"/>
  <c r="H942" i="1"/>
  <c r="D943" i="1"/>
  <c r="E943" i="1"/>
  <c r="F943" i="1"/>
  <c r="G943" i="1"/>
  <c r="H943" i="1"/>
  <c r="D944" i="1"/>
  <c r="E944" i="1"/>
  <c r="F944" i="1"/>
  <c r="G944" i="1"/>
  <c r="H944" i="1"/>
  <c r="D945" i="1"/>
  <c r="E945" i="1"/>
  <c r="F945" i="1"/>
  <c r="G945" i="1"/>
  <c r="H945" i="1"/>
  <c r="D946" i="1"/>
  <c r="E946" i="1"/>
  <c r="F946" i="1"/>
  <c r="G946" i="1"/>
  <c r="H946" i="1"/>
  <c r="D947" i="1"/>
  <c r="E947" i="1"/>
  <c r="F947" i="1"/>
  <c r="G947" i="1"/>
  <c r="H947" i="1"/>
  <c r="D948" i="1"/>
  <c r="E948" i="1"/>
  <c r="F948" i="1"/>
  <c r="G948" i="1"/>
  <c r="H948" i="1"/>
  <c r="D949" i="1"/>
  <c r="E949" i="1"/>
  <c r="F949" i="1"/>
  <c r="G949" i="1"/>
  <c r="H949" i="1"/>
  <c r="D950" i="1"/>
  <c r="E950" i="1"/>
  <c r="F950" i="1"/>
  <c r="G950" i="1"/>
  <c r="H950" i="1"/>
  <c r="D951" i="1"/>
  <c r="E951" i="1"/>
  <c r="F951" i="1"/>
  <c r="G951" i="1"/>
  <c r="H951" i="1"/>
  <c r="D952" i="1"/>
  <c r="E952" i="1"/>
  <c r="F952" i="1"/>
  <c r="G952" i="1"/>
  <c r="H952" i="1"/>
  <c r="D953" i="1"/>
  <c r="E953" i="1"/>
  <c r="F953" i="1"/>
  <c r="G953" i="1"/>
  <c r="H953" i="1"/>
  <c r="D954" i="1"/>
  <c r="E954" i="1"/>
  <c r="F954" i="1"/>
  <c r="G954" i="1"/>
  <c r="H954" i="1"/>
  <c r="D955" i="1"/>
  <c r="E955" i="1"/>
  <c r="F955" i="1"/>
  <c r="G955" i="1"/>
  <c r="H955" i="1"/>
  <c r="D956" i="1"/>
  <c r="E956" i="1"/>
  <c r="F956" i="1"/>
  <c r="G956" i="1"/>
  <c r="H956" i="1"/>
  <c r="D957" i="1"/>
  <c r="E957" i="1"/>
  <c r="F957" i="1"/>
  <c r="G957" i="1"/>
  <c r="H957" i="1"/>
  <c r="D958" i="1"/>
  <c r="E958" i="1"/>
  <c r="F958" i="1"/>
  <c r="G958" i="1"/>
  <c r="H958" i="1"/>
  <c r="D959" i="1"/>
  <c r="E959" i="1"/>
  <c r="F959" i="1"/>
  <c r="G959" i="1"/>
  <c r="H959" i="1"/>
  <c r="D960" i="1"/>
  <c r="E960" i="1"/>
  <c r="F960" i="1"/>
  <c r="G960" i="1"/>
  <c r="H960" i="1"/>
  <c r="D961" i="1"/>
  <c r="E961" i="1"/>
  <c r="F961" i="1"/>
  <c r="G961" i="1"/>
  <c r="H961" i="1"/>
  <c r="D962" i="1"/>
  <c r="E962" i="1"/>
  <c r="F962" i="1"/>
  <c r="G962" i="1"/>
  <c r="H962" i="1"/>
  <c r="D963" i="1"/>
  <c r="E963" i="1"/>
  <c r="F963" i="1"/>
  <c r="G963" i="1"/>
  <c r="H963" i="1"/>
  <c r="D964" i="1"/>
  <c r="E964" i="1"/>
  <c r="F964" i="1"/>
  <c r="G964" i="1"/>
  <c r="H964" i="1"/>
  <c r="D965" i="1"/>
  <c r="E965" i="1"/>
  <c r="F965" i="1"/>
  <c r="G965" i="1"/>
  <c r="H965" i="1"/>
  <c r="D966" i="1"/>
  <c r="E966" i="1"/>
  <c r="F966" i="1"/>
  <c r="G966" i="1"/>
  <c r="H966" i="1"/>
  <c r="D967" i="1"/>
  <c r="E967" i="1"/>
  <c r="F967" i="1"/>
  <c r="G967" i="1"/>
  <c r="H967" i="1"/>
  <c r="D968" i="1"/>
  <c r="E968" i="1"/>
  <c r="F968" i="1"/>
  <c r="G968" i="1"/>
  <c r="H968" i="1"/>
  <c r="D969" i="1"/>
  <c r="E969" i="1"/>
  <c r="F969" i="1"/>
  <c r="G969" i="1"/>
  <c r="H969" i="1"/>
  <c r="D970" i="1"/>
  <c r="E970" i="1"/>
  <c r="F970" i="1"/>
  <c r="G970" i="1"/>
  <c r="H970" i="1"/>
  <c r="D971" i="1"/>
  <c r="E971" i="1"/>
  <c r="F971" i="1"/>
  <c r="G971" i="1"/>
  <c r="H971" i="1"/>
  <c r="D972" i="1"/>
  <c r="E972" i="1"/>
  <c r="F972" i="1"/>
  <c r="G972" i="1"/>
  <c r="H972" i="1"/>
  <c r="D973" i="1"/>
  <c r="E973" i="1"/>
  <c r="F973" i="1"/>
  <c r="G973" i="1"/>
  <c r="H973" i="1"/>
  <c r="D974" i="1"/>
  <c r="E974" i="1"/>
  <c r="F974" i="1"/>
  <c r="G974" i="1"/>
  <c r="H974" i="1"/>
  <c r="D975" i="1"/>
  <c r="E975" i="1"/>
  <c r="F975" i="1"/>
  <c r="G975" i="1"/>
  <c r="H975" i="1"/>
  <c r="D976" i="1"/>
  <c r="E976" i="1"/>
  <c r="F976" i="1"/>
  <c r="G976" i="1"/>
  <c r="H976" i="1"/>
  <c r="D977" i="1"/>
  <c r="E977" i="1"/>
  <c r="F977" i="1"/>
  <c r="G977" i="1"/>
  <c r="H977" i="1"/>
  <c r="D978" i="1"/>
  <c r="E978" i="1"/>
  <c r="F978" i="1"/>
  <c r="G978" i="1"/>
  <c r="H978" i="1"/>
  <c r="D979" i="1"/>
  <c r="E979" i="1"/>
  <c r="F979" i="1"/>
  <c r="G979" i="1"/>
  <c r="H979" i="1"/>
  <c r="D980" i="1"/>
  <c r="E980" i="1"/>
  <c r="F980" i="1"/>
  <c r="G980" i="1"/>
  <c r="H980" i="1"/>
  <c r="D981" i="1"/>
  <c r="E981" i="1"/>
  <c r="F981" i="1"/>
  <c r="G981" i="1"/>
  <c r="H981" i="1"/>
  <c r="D982" i="1"/>
  <c r="E982" i="1"/>
  <c r="F982" i="1"/>
  <c r="G982" i="1"/>
  <c r="H982" i="1"/>
  <c r="D983" i="1"/>
  <c r="E983" i="1"/>
  <c r="F983" i="1"/>
  <c r="G983" i="1"/>
  <c r="H983" i="1"/>
  <c r="D984" i="1"/>
  <c r="E984" i="1"/>
  <c r="F984" i="1"/>
  <c r="G984" i="1"/>
  <c r="H984" i="1"/>
  <c r="D985" i="1"/>
  <c r="E985" i="1"/>
  <c r="F985" i="1"/>
  <c r="G985" i="1"/>
  <c r="H985" i="1"/>
  <c r="D986" i="1"/>
  <c r="E986" i="1"/>
  <c r="F986" i="1"/>
  <c r="G986" i="1"/>
  <c r="H986" i="1"/>
  <c r="D987" i="1"/>
  <c r="E987" i="1"/>
  <c r="F987" i="1"/>
  <c r="G987" i="1"/>
  <c r="H987" i="1"/>
  <c r="D988" i="1"/>
  <c r="E988" i="1"/>
  <c r="F988" i="1"/>
  <c r="G988" i="1"/>
  <c r="H988" i="1"/>
  <c r="D989" i="1"/>
  <c r="E989" i="1"/>
  <c r="F989" i="1"/>
  <c r="G989" i="1"/>
  <c r="H989" i="1"/>
  <c r="D990" i="1"/>
  <c r="E990" i="1"/>
  <c r="F990" i="1"/>
  <c r="G990" i="1"/>
  <c r="H990" i="1"/>
  <c r="D991" i="1"/>
  <c r="E991" i="1"/>
  <c r="F991" i="1"/>
  <c r="G991" i="1"/>
  <c r="H991" i="1"/>
  <c r="D992" i="1"/>
  <c r="E992" i="1"/>
  <c r="F992" i="1"/>
  <c r="G992" i="1"/>
  <c r="H992" i="1"/>
  <c r="D993" i="1"/>
  <c r="E993" i="1"/>
  <c r="F993" i="1"/>
  <c r="G993" i="1"/>
  <c r="H993" i="1"/>
  <c r="D994" i="1"/>
  <c r="E994" i="1"/>
  <c r="F994" i="1"/>
  <c r="G994" i="1"/>
  <c r="H994" i="1"/>
  <c r="D995" i="1"/>
  <c r="E995" i="1"/>
  <c r="F995" i="1"/>
  <c r="G995" i="1"/>
  <c r="H995" i="1"/>
  <c r="D996" i="1"/>
  <c r="E996" i="1"/>
  <c r="F996" i="1"/>
  <c r="G996" i="1"/>
  <c r="H996" i="1"/>
  <c r="D997" i="1"/>
  <c r="E997" i="1"/>
  <c r="F997" i="1"/>
  <c r="G997" i="1"/>
  <c r="H997" i="1"/>
  <c r="D998" i="1"/>
  <c r="E998" i="1"/>
  <c r="F998" i="1"/>
  <c r="G998" i="1"/>
  <c r="H998" i="1"/>
  <c r="D999" i="1"/>
  <c r="E999" i="1"/>
  <c r="F999" i="1"/>
  <c r="G999" i="1"/>
  <c r="H999" i="1"/>
  <c r="D1000" i="1"/>
  <c r="E1000" i="1"/>
  <c r="F1000" i="1"/>
  <c r="G1000" i="1"/>
  <c r="H1000" i="1"/>
  <c r="D1001" i="1"/>
  <c r="E1001" i="1"/>
  <c r="F1001" i="1"/>
  <c r="G1001" i="1"/>
  <c r="H1001" i="1"/>
  <c r="D1002" i="1"/>
  <c r="E1002" i="1"/>
  <c r="F1002" i="1"/>
  <c r="G1002" i="1"/>
  <c r="H1002" i="1"/>
  <c r="D1003" i="1"/>
  <c r="E1003" i="1"/>
  <c r="F1003" i="1"/>
  <c r="G1003" i="1"/>
  <c r="H1003" i="1"/>
  <c r="D1004" i="1"/>
  <c r="E1004" i="1"/>
  <c r="F1004" i="1"/>
  <c r="G1004" i="1"/>
  <c r="H1004" i="1"/>
  <c r="D1005" i="1"/>
  <c r="E1005" i="1"/>
  <c r="F1005" i="1"/>
  <c r="G1005" i="1"/>
  <c r="H1005" i="1"/>
  <c r="D1006" i="1"/>
  <c r="E1006" i="1"/>
  <c r="F1006" i="1"/>
  <c r="G1006" i="1"/>
  <c r="H1006" i="1"/>
  <c r="D1007" i="1"/>
  <c r="E1007" i="1"/>
  <c r="F1007" i="1"/>
  <c r="G1007" i="1"/>
  <c r="H1007" i="1"/>
  <c r="D1008" i="1"/>
  <c r="E1008" i="1"/>
  <c r="F1008" i="1"/>
  <c r="G1008" i="1"/>
  <c r="H1008" i="1"/>
  <c r="D1009" i="1"/>
  <c r="E1009" i="1"/>
  <c r="F1009" i="1"/>
  <c r="G1009" i="1"/>
  <c r="H1009" i="1"/>
  <c r="D1010" i="1"/>
  <c r="E1010" i="1"/>
  <c r="F1010" i="1"/>
  <c r="G1010" i="1"/>
  <c r="H1010" i="1"/>
  <c r="D1011" i="1"/>
  <c r="E1011" i="1"/>
  <c r="F1011" i="1"/>
  <c r="G1011" i="1"/>
  <c r="H1011" i="1"/>
  <c r="D1012" i="1"/>
  <c r="E1012" i="1"/>
  <c r="F1012" i="1"/>
  <c r="G1012" i="1"/>
  <c r="H1012" i="1"/>
  <c r="D1013" i="1"/>
  <c r="E1013" i="1"/>
  <c r="F1013" i="1"/>
  <c r="G1013" i="1"/>
  <c r="H1013" i="1"/>
  <c r="D1014" i="1"/>
  <c r="E1014" i="1"/>
  <c r="F1014" i="1"/>
  <c r="G1014" i="1"/>
  <c r="H1014" i="1"/>
  <c r="D1015" i="1"/>
  <c r="E1015" i="1"/>
  <c r="F1015" i="1"/>
  <c r="G1015" i="1"/>
  <c r="H1015" i="1"/>
  <c r="D1016" i="1"/>
  <c r="E1016" i="1"/>
  <c r="F1016" i="1"/>
  <c r="G1016" i="1"/>
  <c r="H1016" i="1"/>
  <c r="D1017" i="1"/>
  <c r="E1017" i="1"/>
  <c r="F1017" i="1"/>
  <c r="G1017" i="1"/>
  <c r="H1017" i="1"/>
  <c r="D1018" i="1"/>
  <c r="E1018" i="1"/>
  <c r="F1018" i="1"/>
  <c r="G1018" i="1"/>
  <c r="H1018" i="1"/>
  <c r="E19" i="1"/>
  <c r="F19" i="1"/>
  <c r="G19" i="1"/>
  <c r="H19" i="1"/>
  <c r="D19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D18" i="1"/>
  <c r="E18" i="1"/>
  <c r="F18" i="1"/>
  <c r="G18" i="1"/>
  <c r="H18" i="1"/>
  <c r="C18" i="1"/>
  <c r="K25" i="1" l="1"/>
  <c r="L19" i="1"/>
  <c r="M19" i="1"/>
  <c r="N19" i="1"/>
  <c r="N25" i="1" s="1"/>
  <c r="O19" i="1"/>
  <c r="P19" i="1"/>
  <c r="P25" i="1" s="1"/>
  <c r="L20" i="1"/>
  <c r="M20" i="1"/>
  <c r="N20" i="1"/>
  <c r="O20" i="1"/>
  <c r="P20" i="1"/>
  <c r="L21" i="1"/>
  <c r="M21" i="1"/>
  <c r="N21" i="1"/>
  <c r="O21" i="1"/>
  <c r="P21" i="1"/>
  <c r="L22" i="1"/>
  <c r="M22" i="1"/>
  <c r="N22" i="1"/>
  <c r="O22" i="1"/>
  <c r="P22" i="1"/>
  <c r="L23" i="1"/>
  <c r="M23" i="1"/>
  <c r="N23" i="1"/>
  <c r="O23" i="1"/>
  <c r="P23" i="1"/>
  <c r="K20" i="1"/>
  <c r="K21" i="1"/>
  <c r="K22" i="1"/>
  <c r="K23" i="1"/>
  <c r="K19" i="1"/>
  <c r="D12" i="1"/>
  <c r="C12" i="1"/>
  <c r="E15" i="1"/>
  <c r="F15" i="1"/>
  <c r="G15" i="1"/>
  <c r="H15" i="1"/>
  <c r="H12" i="1"/>
  <c r="P9" i="1"/>
  <c r="P4" i="1"/>
  <c r="K4" i="1"/>
  <c r="L4" i="1"/>
  <c r="M4" i="1"/>
  <c r="N4" i="1"/>
  <c r="O4" i="1"/>
  <c r="J9" i="1"/>
  <c r="L9" i="1" s="1"/>
  <c r="J8" i="1"/>
  <c r="N8" i="1" s="1"/>
  <c r="J7" i="1"/>
  <c r="L7" i="1" s="1"/>
  <c r="J6" i="1"/>
  <c r="P6" i="1" s="1"/>
  <c r="J5" i="1"/>
  <c r="M5" i="1" s="1"/>
  <c r="J4" i="1"/>
  <c r="E12" i="1"/>
  <c r="F12" i="1"/>
  <c r="G12" i="1"/>
  <c r="D11" i="1"/>
  <c r="E11" i="1"/>
  <c r="F11" i="1"/>
  <c r="G11" i="1"/>
  <c r="H11" i="1"/>
  <c r="C11" i="1"/>
  <c r="O25" i="1" l="1"/>
  <c r="M25" i="1"/>
  <c r="L25" i="1"/>
  <c r="K6" i="1"/>
  <c r="O6" i="1"/>
  <c r="O9" i="1"/>
  <c r="N9" i="1"/>
  <c r="M9" i="1"/>
  <c r="M8" i="1"/>
  <c r="L8" i="1"/>
  <c r="N6" i="1"/>
  <c r="N5" i="1"/>
  <c r="L5" i="1"/>
  <c r="P7" i="1"/>
  <c r="M6" i="1"/>
  <c r="K5" i="1"/>
  <c r="O7" i="1"/>
  <c r="L6" i="1"/>
  <c r="K9" i="1"/>
  <c r="N7" i="1"/>
  <c r="P5" i="1"/>
  <c r="K8" i="1"/>
  <c r="P8" i="1"/>
  <c r="M7" i="1"/>
  <c r="O5" i="1"/>
  <c r="K7" i="1"/>
  <c r="O8" i="1"/>
</calcChain>
</file>

<file path=xl/sharedStrings.xml><?xml version="1.0" encoding="utf-8"?>
<sst xmlns="http://schemas.openxmlformats.org/spreadsheetml/2006/main" count="36" uniqueCount="27">
  <si>
    <t>A</t>
  </si>
  <si>
    <t>B</t>
  </si>
  <si>
    <t>C</t>
  </si>
  <si>
    <t>D</t>
  </si>
  <si>
    <t>E</t>
  </si>
  <si>
    <t>F</t>
  </si>
  <si>
    <t>year</t>
  </si>
  <si>
    <t>NPV</t>
  </si>
  <si>
    <t>IRR</t>
  </si>
  <si>
    <t>PP</t>
  </si>
  <si>
    <t>DPP</t>
  </si>
  <si>
    <t>never</t>
  </si>
  <si>
    <t>ROI</t>
  </si>
  <si>
    <t>discounted cash flows</t>
  </si>
  <si>
    <t>interest rate</t>
  </si>
  <si>
    <t>hurdlerate</t>
  </si>
  <si>
    <t>DCF</t>
  </si>
  <si>
    <t>rates</t>
  </si>
  <si>
    <t>years</t>
  </si>
  <si>
    <t>Studio A</t>
  </si>
  <si>
    <t>Studio B</t>
  </si>
  <si>
    <t>Discount Rate for EAC Question</t>
  </si>
  <si>
    <t>EAC</t>
  </si>
  <si>
    <t>NPV (with excel formula)</t>
  </si>
  <si>
    <t>NPV (manually with annuity formula)</t>
  </si>
  <si>
    <t>studio life</t>
  </si>
  <si>
    <t>studio operating costs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</si>
</sst>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%"/>
    <numFmt numFmtId="165" formatCode="&quot;$&quot;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8" fontId="0" fillId="0" borderId="0" xfId="0" applyNumberFormat="1"/>
    <xf numFmtId="8" fontId="2" fillId="0" borderId="0" xfId="0" applyNumberFormat="1" applyFont="1"/>
    <xf numFmtId="0" fontId="2" fillId="0" borderId="0" xfId="0" applyFont="1"/>
    <xf numFmtId="10" fontId="0" fillId="0" borderId="0" xfId="1" applyNumberFormat="1" applyFont="1"/>
    <xf numFmtId="10" fontId="2" fillId="0" borderId="0" xfId="1" applyNumberFormat="1" applyFont="1"/>
    <xf numFmtId="10" fontId="0" fillId="0" borderId="0" xfId="0" applyNumberFormat="1"/>
    <xf numFmtId="10" fontId="2" fillId="0" borderId="0" xfId="0" applyNumberFormat="1" applyFont="1"/>
    <xf numFmtId="0" fontId="3" fillId="0" borderId="0" xfId="0" applyFont="1"/>
    <xf numFmtId="0" fontId="4" fillId="0" borderId="0" xfId="0" applyFont="1"/>
    <xf numFmtId="10" fontId="3" fillId="0" borderId="0" xfId="0" applyNumberFormat="1" applyFont="1"/>
    <xf numFmtId="164" fontId="3" fillId="0" borderId="0" xfId="0" applyNumberFormat="1" applyFont="1"/>
    <xf numFmtId="165" fontId="0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NPVs!$C$18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NPVs!$B$19:$B$1018</c:f>
              <c:numCache>
                <c:formatCode>0.000%</c:formatCode>
                <c:ptCount val="1000"/>
                <c:pt idx="0" formatCode="0.00%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  <c:pt idx="999">
                  <c:v>1</c:v>
                </c:pt>
              </c:numCache>
            </c:numRef>
          </c:cat>
          <c:val>
            <c:numRef>
              <c:f>NPVs!$C$19:$C$1018</c:f>
              <c:numCache>
                <c:formatCode>General</c:formatCode>
                <c:ptCount val="1000"/>
                <c:pt idx="0">
                  <c:v>8.7912087912088168</c:v>
                </c:pt>
                <c:pt idx="1">
                  <c:v>8.5828343313373239</c:v>
                </c:pt>
                <c:pt idx="2">
                  <c:v>8.3748753738783819</c:v>
                </c:pt>
                <c:pt idx="3">
                  <c:v>8.1673306772908347</c:v>
                </c:pt>
                <c:pt idx="4">
                  <c:v>7.9601990049751521</c:v>
                </c:pt>
                <c:pt idx="5">
                  <c:v>7.7534791252485036</c:v>
                </c:pt>
                <c:pt idx="6">
                  <c:v>7.5471698113207708</c:v>
                </c:pt>
                <c:pt idx="7">
                  <c:v>7.3412698412698489</c:v>
                </c:pt>
                <c:pt idx="8">
                  <c:v>7.1357779980178577</c:v>
                </c:pt>
                <c:pt idx="9">
                  <c:v>6.9306930693069262</c:v>
                </c:pt>
                <c:pt idx="10">
                  <c:v>6.7260138476756026</c:v>
                </c:pt>
                <c:pt idx="11">
                  <c:v>6.5217391304347814</c:v>
                </c:pt>
                <c:pt idx="12">
                  <c:v>6.3178677196446529</c:v>
                </c:pt>
                <c:pt idx="13">
                  <c:v>6.1143984220907157</c:v>
                </c:pt>
                <c:pt idx="14">
                  <c:v>5.9113300492610961</c:v>
                </c:pt>
                <c:pt idx="15">
                  <c:v>5.708661417322844</c:v>
                </c:pt>
                <c:pt idx="16">
                  <c:v>5.5063913470993384</c:v>
                </c:pt>
                <c:pt idx="17">
                  <c:v>5.3045186640471513</c:v>
                </c:pt>
                <c:pt idx="18">
                  <c:v>5.1030421982335952</c:v>
                </c:pt>
                <c:pt idx="19">
                  <c:v>4.9019607843137294</c:v>
                </c:pt>
                <c:pt idx="20">
                  <c:v>4.7012732615083337</c:v>
                </c:pt>
                <c:pt idx="21">
                  <c:v>4.5009784735811991</c:v>
                </c:pt>
                <c:pt idx="22">
                  <c:v>4.3010752688172147</c:v>
                </c:pt>
                <c:pt idx="23">
                  <c:v>4.1015625</c:v>
                </c:pt>
                <c:pt idx="24">
                  <c:v>3.9024390243902474</c:v>
                </c:pt>
                <c:pt idx="25">
                  <c:v>3.7037037037036953</c:v>
                </c:pt>
                <c:pt idx="26">
                  <c:v>3.5053554040895847</c:v>
                </c:pt>
                <c:pt idx="27">
                  <c:v>3.3073929961089448</c:v>
                </c:pt>
                <c:pt idx="28">
                  <c:v>3.1098153547133336</c:v>
                </c:pt>
                <c:pt idx="29">
                  <c:v>2.9126213592232943</c:v>
                </c:pt>
                <c:pt idx="30">
                  <c:v>2.7158098933074939</c:v>
                </c:pt>
                <c:pt idx="31">
                  <c:v>2.5193798449612359</c:v>
                </c:pt>
                <c:pt idx="32">
                  <c:v>2.3233301064859688</c:v>
                </c:pt>
                <c:pt idx="33">
                  <c:v>2.1276595744680833</c:v>
                </c:pt>
                <c:pt idx="34">
                  <c:v>1.9323671497584769</c:v>
                </c:pt>
                <c:pt idx="35">
                  <c:v>1.7374517374517211</c:v>
                </c:pt>
                <c:pt idx="36">
                  <c:v>1.5429122468659671</c:v>
                </c:pt>
                <c:pt idx="37">
                  <c:v>1.348747591522141</c:v>
                </c:pt>
                <c:pt idx="38">
                  <c:v>1.1549566891241625</c:v>
                </c:pt>
                <c:pt idx="39">
                  <c:v>0.96153846153845279</c:v>
                </c:pt>
                <c:pt idx="40">
                  <c:v>0.76849183477426664</c:v>
                </c:pt>
                <c:pt idx="41">
                  <c:v>0.57581573896351301</c:v>
                </c:pt>
                <c:pt idx="42">
                  <c:v>0.38350910834134311</c:v>
                </c:pt>
                <c:pt idx="43">
                  <c:v>0.19157088122605614</c:v>
                </c:pt>
                <c:pt idx="44">
                  <c:v>0</c:v>
                </c:pt>
                <c:pt idx="45">
                  <c:v>-0.19120458891015346</c:v>
                </c:pt>
                <c:pt idx="46">
                  <c:v>-0.38204393505250778</c:v>
                </c:pt>
                <c:pt idx="47">
                  <c:v>-0.5725190839694676</c:v>
                </c:pt>
                <c:pt idx="48">
                  <c:v>-0.76263107721638335</c:v>
                </c:pt>
                <c:pt idx="49">
                  <c:v>-0.95238095238096321</c:v>
                </c:pt>
                <c:pt idx="50">
                  <c:v>-1.1417697431018041</c:v>
                </c:pt>
                <c:pt idx="51">
                  <c:v>-1.3307984790874627</c:v>
                </c:pt>
                <c:pt idx="52">
                  <c:v>-1.5194681861348442</c:v>
                </c:pt>
                <c:pt idx="53">
                  <c:v>-1.7077798861480176</c:v>
                </c:pt>
                <c:pt idx="54">
                  <c:v>-1.8957345971563768</c:v>
                </c:pt>
                <c:pt idx="55">
                  <c:v>-2.0833333333333428</c:v>
                </c:pt>
                <c:pt idx="56">
                  <c:v>-2.2705771050141834</c:v>
                </c:pt>
                <c:pt idx="57">
                  <c:v>-2.457466918714573</c:v>
                </c:pt>
                <c:pt idx="58">
                  <c:v>-2.6440037771482423</c:v>
                </c:pt>
                <c:pt idx="59">
                  <c:v>-2.8301886792452819</c:v>
                </c:pt>
                <c:pt idx="60">
                  <c:v>-3.0160226201696503</c:v>
                </c:pt>
                <c:pt idx="61">
                  <c:v>-3.2015065913371075</c:v>
                </c:pt>
                <c:pt idx="62">
                  <c:v>-3.3866415804327232</c:v>
                </c:pt>
                <c:pt idx="63">
                  <c:v>-3.5714285714285836</c:v>
                </c:pt>
                <c:pt idx="64">
                  <c:v>-3.7558685446009292</c:v>
                </c:pt>
                <c:pt idx="65">
                  <c:v>-3.939962476547862</c:v>
                </c:pt>
                <c:pt idx="66">
                  <c:v>-4.1237113402061709</c:v>
                </c:pt>
                <c:pt idx="67">
                  <c:v>-4.3071161048689248</c:v>
                </c:pt>
                <c:pt idx="68">
                  <c:v>-4.4901777362020425</c:v>
                </c:pt>
                <c:pt idx="69">
                  <c:v>-4.6728971962616868</c:v>
                </c:pt>
                <c:pt idx="70">
                  <c:v>-4.8552754435107204</c:v>
                </c:pt>
                <c:pt idx="71">
                  <c:v>-5.0373134328358447</c:v>
                </c:pt>
                <c:pt idx="72">
                  <c:v>-5.219012115563828</c:v>
                </c:pt>
                <c:pt idx="73">
                  <c:v>-5.4003724394785877</c:v>
                </c:pt>
                <c:pt idx="74">
                  <c:v>-5.5813953488371908</c:v>
                </c:pt>
                <c:pt idx="75">
                  <c:v>-5.7620817843866234</c:v>
                </c:pt>
                <c:pt idx="76">
                  <c:v>-5.9424326833797636</c:v>
                </c:pt>
                <c:pt idx="77">
                  <c:v>-6.1224489795918373</c:v>
                </c:pt>
                <c:pt idx="78">
                  <c:v>-6.3021316033364201</c:v>
                </c:pt>
                <c:pt idx="79">
                  <c:v>-6.4814814814814952</c:v>
                </c:pt>
                <c:pt idx="80">
                  <c:v>-6.6604995374653129</c:v>
                </c:pt>
                <c:pt idx="81">
                  <c:v>-6.839186691312392</c:v>
                </c:pt>
                <c:pt idx="82">
                  <c:v>-7.0175438596491233</c:v>
                </c:pt>
                <c:pt idx="83">
                  <c:v>-7.1955719557195721</c:v>
                </c:pt>
                <c:pt idx="84">
                  <c:v>-7.373271889400911</c:v>
                </c:pt>
                <c:pt idx="85">
                  <c:v>-7.550644567219166</c:v>
                </c:pt>
                <c:pt idx="86">
                  <c:v>-7.7276908923643077</c:v>
                </c:pt>
                <c:pt idx="87">
                  <c:v>-7.904411764705884</c:v>
                </c:pt>
                <c:pt idx="88">
                  <c:v>-8.0808080808080831</c:v>
                </c:pt>
                <c:pt idx="89">
                  <c:v>-8.2568807339449677</c:v>
                </c:pt>
                <c:pt idx="90">
                  <c:v>-8.4326306141154816</c:v>
                </c:pt>
                <c:pt idx="91">
                  <c:v>-8.6080586080586272</c:v>
                </c:pt>
                <c:pt idx="92">
                  <c:v>-8.7831655992680737</c:v>
                </c:pt>
                <c:pt idx="93">
                  <c:v>-8.9579524680073348</c:v>
                </c:pt>
                <c:pt idx="94">
                  <c:v>-9.1324200913242066</c:v>
                </c:pt>
                <c:pt idx="95">
                  <c:v>-9.3065693430657177</c:v>
                </c:pt>
                <c:pt idx="96">
                  <c:v>-9.480401093892425</c:v>
                </c:pt>
                <c:pt idx="97">
                  <c:v>-9.6539162112932786</c:v>
                </c:pt>
                <c:pt idx="98">
                  <c:v>-9.8271155595996333</c:v>
                </c:pt>
                <c:pt idx="99">
                  <c:v>-10.000000000000028</c:v>
                </c:pt>
                <c:pt idx="100">
                  <c:v>-10.172570390554029</c:v>
                </c:pt>
                <c:pt idx="101">
                  <c:v>-10.344827586206918</c:v>
                </c:pt>
                <c:pt idx="102">
                  <c:v>-10.516772438803258</c:v>
                </c:pt>
                <c:pt idx="103">
                  <c:v>-10.688405797101467</c:v>
                </c:pt>
                <c:pt idx="104">
                  <c:v>-10.85972850678732</c:v>
                </c:pt>
                <c:pt idx="105">
                  <c:v>-11.030741410488275</c:v>
                </c:pt>
                <c:pt idx="106">
                  <c:v>-11.201445347786802</c:v>
                </c:pt>
                <c:pt idx="107">
                  <c:v>-11.371841155234677</c:v>
                </c:pt>
                <c:pt idx="108">
                  <c:v>-11.541929666366087</c:v>
                </c:pt>
                <c:pt idx="109">
                  <c:v>-11.711711711711729</c:v>
                </c:pt>
                <c:pt idx="110">
                  <c:v>-11.881188118811878</c:v>
                </c:pt>
                <c:pt idx="111">
                  <c:v>-12.050359712230232</c:v>
                </c:pt>
                <c:pt idx="112">
                  <c:v>-12.219227313566932</c:v>
                </c:pt>
                <c:pt idx="113">
                  <c:v>-12.387791741472199</c:v>
                </c:pt>
                <c:pt idx="114">
                  <c:v>-12.556053811659183</c:v>
                </c:pt>
                <c:pt idx="115">
                  <c:v>-12.724014336917577</c:v>
                </c:pt>
                <c:pt idx="116">
                  <c:v>-12.891674127126237</c:v>
                </c:pt>
                <c:pt idx="117">
                  <c:v>-13.059033989266538</c:v>
                </c:pt>
                <c:pt idx="118">
                  <c:v>-13.226094727435196</c:v>
                </c:pt>
                <c:pt idx="119">
                  <c:v>-13.392857142857167</c:v>
                </c:pt>
                <c:pt idx="120">
                  <c:v>-13.559322033898297</c:v>
                </c:pt>
                <c:pt idx="121">
                  <c:v>-13.725490196078425</c:v>
                </c:pt>
                <c:pt idx="122">
                  <c:v>-13.891362422083716</c:v>
                </c:pt>
                <c:pt idx="123">
                  <c:v>-14.056939501779368</c:v>
                </c:pt>
                <c:pt idx="124">
                  <c:v>-14.222222222222229</c:v>
                </c:pt>
                <c:pt idx="125">
                  <c:v>-14.38721136767316</c:v>
                </c:pt>
                <c:pt idx="126">
                  <c:v>-14.551907719609574</c:v>
                </c:pt>
                <c:pt idx="127">
                  <c:v>-14.716312056737621</c:v>
                </c:pt>
                <c:pt idx="128">
                  <c:v>-14.880425155004417</c:v>
                </c:pt>
                <c:pt idx="129">
                  <c:v>-15.044247787610601</c:v>
                </c:pt>
                <c:pt idx="130">
                  <c:v>-15.207780725022104</c:v>
                </c:pt>
                <c:pt idx="131">
                  <c:v>-15.371024734982342</c:v>
                </c:pt>
                <c:pt idx="132">
                  <c:v>-15.533980582524265</c:v>
                </c:pt>
                <c:pt idx="133">
                  <c:v>-15.696649029982353</c:v>
                </c:pt>
                <c:pt idx="134">
                  <c:v>-15.859030837004411</c:v>
                </c:pt>
                <c:pt idx="135">
                  <c:v>-16.021126760563391</c:v>
                </c:pt>
                <c:pt idx="136">
                  <c:v>-16.182937554969214</c:v>
                </c:pt>
                <c:pt idx="137">
                  <c:v>-16.344463971880486</c:v>
                </c:pt>
                <c:pt idx="138">
                  <c:v>-16.505706760316059</c:v>
                </c:pt>
                <c:pt idx="139">
                  <c:v>-16.666666666666686</c:v>
                </c:pt>
                <c:pt idx="140">
                  <c:v>-16.82734443470639</c:v>
                </c:pt>
                <c:pt idx="141">
                  <c:v>-16.987740805604176</c:v>
                </c:pt>
                <c:pt idx="142">
                  <c:v>-17.147856517935253</c:v>
                </c:pt>
                <c:pt idx="143">
                  <c:v>-17.307692307692292</c:v>
                </c:pt>
                <c:pt idx="144">
                  <c:v>-17.467248908296938</c:v>
                </c:pt>
                <c:pt idx="145">
                  <c:v>-17.626527050610804</c:v>
                </c:pt>
                <c:pt idx="146">
                  <c:v>-17.785527462946817</c:v>
                </c:pt>
                <c:pt idx="147">
                  <c:v>-17.944250871080129</c:v>
                </c:pt>
                <c:pt idx="148">
                  <c:v>-18.102697998259373</c:v>
                </c:pt>
                <c:pt idx="149">
                  <c:v>-18.260869565217376</c:v>
                </c:pt>
                <c:pt idx="150">
                  <c:v>-18.418766290182447</c:v>
                </c:pt>
                <c:pt idx="151">
                  <c:v>-18.576388888888886</c:v>
                </c:pt>
                <c:pt idx="152">
                  <c:v>-18.733738074588047</c:v>
                </c:pt>
                <c:pt idx="153">
                  <c:v>-18.890814558058906</c:v>
                </c:pt>
                <c:pt idx="154">
                  <c:v>-19.047619047619065</c:v>
                </c:pt>
                <c:pt idx="155">
                  <c:v>-19.204152249134921</c:v>
                </c:pt>
                <c:pt idx="156">
                  <c:v>-19.360414866032841</c:v>
                </c:pt>
                <c:pt idx="157">
                  <c:v>-19.516407599309133</c:v>
                </c:pt>
                <c:pt idx="158">
                  <c:v>-19.672131147540995</c:v>
                </c:pt>
                <c:pt idx="159">
                  <c:v>-19.827586206896541</c:v>
                </c:pt>
                <c:pt idx="160">
                  <c:v>-19.982773471145578</c:v>
                </c:pt>
                <c:pt idx="161">
                  <c:v>-20.137693631669521</c:v>
                </c:pt>
                <c:pt idx="162">
                  <c:v>-20.292347377472055</c:v>
                </c:pt>
                <c:pt idx="163">
                  <c:v>-20.446735395188995</c:v>
                </c:pt>
                <c:pt idx="164">
                  <c:v>-20.600858369098717</c:v>
                </c:pt>
                <c:pt idx="165">
                  <c:v>-20.754716981132077</c:v>
                </c:pt>
                <c:pt idx="166">
                  <c:v>-20.908311910882617</c:v>
                </c:pt>
                <c:pt idx="167">
                  <c:v>-21.061643835616422</c:v>
                </c:pt>
                <c:pt idx="168">
                  <c:v>-21.214713430282302</c:v>
                </c:pt>
                <c:pt idx="169">
                  <c:v>-21.367521367521363</c:v>
                </c:pt>
                <c:pt idx="170">
                  <c:v>-21.520068317677215</c:v>
                </c:pt>
                <c:pt idx="171">
                  <c:v>-21.672354948805463</c:v>
                </c:pt>
                <c:pt idx="172">
                  <c:v>-21.824381926683714</c:v>
                </c:pt>
                <c:pt idx="173">
                  <c:v>-21.976149914821121</c:v>
                </c:pt>
                <c:pt idx="174">
                  <c:v>-22.127659574468083</c:v>
                </c:pt>
                <c:pt idx="175">
                  <c:v>-22.278911564625844</c:v>
                </c:pt>
                <c:pt idx="176">
                  <c:v>-22.429906542056074</c:v>
                </c:pt>
                <c:pt idx="177">
                  <c:v>-22.580645161290306</c:v>
                </c:pt>
                <c:pt idx="178">
                  <c:v>-22.731128074639543</c:v>
                </c:pt>
                <c:pt idx="179">
                  <c:v>-22.881355932203377</c:v>
                </c:pt>
                <c:pt idx="180">
                  <c:v>-23.031329381879772</c:v>
                </c:pt>
                <c:pt idx="181">
                  <c:v>-23.181049069373927</c:v>
                </c:pt>
                <c:pt idx="182">
                  <c:v>-23.330515638207942</c:v>
                </c:pt>
                <c:pt idx="183">
                  <c:v>-23.479729729729712</c:v>
                </c:pt>
                <c:pt idx="184">
                  <c:v>-23.628691983122366</c:v>
                </c:pt>
                <c:pt idx="185">
                  <c:v>-23.777403035413158</c:v>
                </c:pt>
                <c:pt idx="186">
                  <c:v>-23.925863521482739</c:v>
                </c:pt>
                <c:pt idx="187">
                  <c:v>-24.074074074074076</c:v>
                </c:pt>
                <c:pt idx="188">
                  <c:v>-24.222035323801521</c:v>
                </c:pt>
                <c:pt idx="189">
                  <c:v>-24.369747899159648</c:v>
                </c:pt>
                <c:pt idx="190">
                  <c:v>-24.517212426532325</c:v>
                </c:pt>
                <c:pt idx="191">
                  <c:v>-24.664429530201346</c:v>
                </c:pt>
                <c:pt idx="192">
                  <c:v>-24.81139983235542</c:v>
                </c:pt>
                <c:pt idx="193">
                  <c:v>-24.958123953098834</c:v>
                </c:pt>
                <c:pt idx="194">
                  <c:v>-25.104602510460268</c:v>
                </c:pt>
                <c:pt idx="195">
                  <c:v>-25.250836120401317</c:v>
                </c:pt>
                <c:pt idx="196">
                  <c:v>-25.39682539682542</c:v>
                </c:pt>
                <c:pt idx="197">
                  <c:v>-25.542570951585958</c:v>
                </c:pt>
                <c:pt idx="198">
                  <c:v>-25.688073394495433</c:v>
                </c:pt>
                <c:pt idx="199">
                  <c:v>-25.833333333333314</c:v>
                </c:pt>
                <c:pt idx="200">
                  <c:v>-25.978351373855133</c:v>
                </c:pt>
                <c:pt idx="201">
                  <c:v>-26.123128119800327</c:v>
                </c:pt>
                <c:pt idx="202">
                  <c:v>-26.267664172901078</c:v>
                </c:pt>
                <c:pt idx="203">
                  <c:v>-26.411960132890357</c:v>
                </c:pt>
                <c:pt idx="204">
                  <c:v>-26.556016597510393</c:v>
                </c:pt>
                <c:pt idx="205">
                  <c:v>-26.699834162520716</c:v>
                </c:pt>
                <c:pt idx="206">
                  <c:v>-26.843413421706714</c:v>
                </c:pt>
                <c:pt idx="207">
                  <c:v>-26.986754966887418</c:v>
                </c:pt>
                <c:pt idx="208">
                  <c:v>-27.129859387923915</c:v>
                </c:pt>
                <c:pt idx="209">
                  <c:v>-27.27272727272728</c:v>
                </c:pt>
                <c:pt idx="210">
                  <c:v>-27.415359207266732</c:v>
                </c:pt>
                <c:pt idx="211">
                  <c:v>-27.557755775577562</c:v>
                </c:pt>
                <c:pt idx="212">
                  <c:v>-27.699917559769176</c:v>
                </c:pt>
                <c:pt idx="213">
                  <c:v>-27.841845140032945</c:v>
                </c:pt>
                <c:pt idx="214">
                  <c:v>-27.983539094650212</c:v>
                </c:pt>
                <c:pt idx="215">
                  <c:v>-28.125</c:v>
                </c:pt>
                <c:pt idx="216">
                  <c:v>-28.266228430566969</c:v>
                </c:pt>
                <c:pt idx="217">
                  <c:v>-28.407224958949087</c:v>
                </c:pt>
                <c:pt idx="218">
                  <c:v>-28.547990155865477</c:v>
                </c:pt>
                <c:pt idx="219">
                  <c:v>-28.688524590163922</c:v>
                </c:pt>
                <c:pt idx="220">
                  <c:v>-28.828828828828847</c:v>
                </c:pt>
                <c:pt idx="221">
                  <c:v>-28.968903436988541</c:v>
                </c:pt>
                <c:pt idx="222">
                  <c:v>-29.108748977923142</c:v>
                </c:pt>
                <c:pt idx="223">
                  <c:v>-29.248366013071887</c:v>
                </c:pt>
                <c:pt idx="224">
                  <c:v>-29.387755102040842</c:v>
                </c:pt>
                <c:pt idx="225">
                  <c:v>-29.526916802610117</c:v>
                </c:pt>
                <c:pt idx="226">
                  <c:v>-29.66585167074166</c:v>
                </c:pt>
                <c:pt idx="227">
                  <c:v>-29.804560260586328</c:v>
                </c:pt>
                <c:pt idx="228">
                  <c:v>-29.943043124491481</c:v>
                </c:pt>
                <c:pt idx="229">
                  <c:v>-30.081300813008141</c:v>
                </c:pt>
                <c:pt idx="230">
                  <c:v>-30.219333874898467</c:v>
                </c:pt>
                <c:pt idx="231">
                  <c:v>-30.357142857142861</c:v>
                </c:pt>
                <c:pt idx="232">
                  <c:v>-30.494728304947301</c:v>
                </c:pt>
                <c:pt idx="233">
                  <c:v>-30.632090761750391</c:v>
                </c:pt>
                <c:pt idx="234">
                  <c:v>-30.769230769230745</c:v>
                </c:pt>
                <c:pt idx="235">
                  <c:v>-30.906148867313902</c:v>
                </c:pt>
                <c:pt idx="236">
                  <c:v>-31.042845594179482</c:v>
                </c:pt>
                <c:pt idx="237">
                  <c:v>-31.179321486268179</c:v>
                </c:pt>
                <c:pt idx="238">
                  <c:v>-31.315577078288925</c:v>
                </c:pt>
                <c:pt idx="239">
                  <c:v>-31.451612903225794</c:v>
                </c:pt>
                <c:pt idx="240">
                  <c:v>-31.58742949234491</c:v>
                </c:pt>
                <c:pt idx="241">
                  <c:v>-31.723027375201298</c:v>
                </c:pt>
                <c:pt idx="242">
                  <c:v>-31.858407079646014</c:v>
                </c:pt>
                <c:pt idx="243">
                  <c:v>-31.9935691318328</c:v>
                </c:pt>
                <c:pt idx="244">
                  <c:v>-32.128514056224901</c:v>
                </c:pt>
                <c:pt idx="245">
                  <c:v>-32.263242375601919</c:v>
                </c:pt>
                <c:pt idx="246">
                  <c:v>-32.397754611066546</c:v>
                </c:pt>
                <c:pt idx="247">
                  <c:v>-32.53205128205127</c:v>
                </c:pt>
                <c:pt idx="248">
                  <c:v>-32.666132906325089</c:v>
                </c:pt>
                <c:pt idx="249">
                  <c:v>-32.800000000000011</c:v>
                </c:pt>
                <c:pt idx="250">
                  <c:v>-32.933653077537969</c:v>
                </c:pt>
                <c:pt idx="251">
                  <c:v>-33.067092651757179</c:v>
                </c:pt>
                <c:pt idx="252">
                  <c:v>-33.200319233838798</c:v>
                </c:pt>
                <c:pt idx="253">
                  <c:v>-33.333333333333343</c:v>
                </c:pt>
                <c:pt idx="254">
                  <c:v>-33.466135458167315</c:v>
                </c:pt>
                <c:pt idx="255">
                  <c:v>-33.598726114649679</c:v>
                </c:pt>
                <c:pt idx="256">
                  <c:v>-33.731105807478144</c:v>
                </c:pt>
                <c:pt idx="257">
                  <c:v>-33.863275039745616</c:v>
                </c:pt>
                <c:pt idx="258">
                  <c:v>-33.995234312946764</c:v>
                </c:pt>
                <c:pt idx="259">
                  <c:v>-34.126984126984127</c:v>
                </c:pt>
                <c:pt idx="260">
                  <c:v>-34.258524980174485</c:v>
                </c:pt>
                <c:pt idx="261">
                  <c:v>-34.389857369255139</c:v>
                </c:pt>
                <c:pt idx="262">
                  <c:v>-34.520981789390333</c:v>
                </c:pt>
                <c:pt idx="263">
                  <c:v>-34.651898734177223</c:v>
                </c:pt>
                <c:pt idx="264">
                  <c:v>-34.782608695652186</c:v>
                </c:pt>
                <c:pt idx="265">
                  <c:v>-34.91311216429699</c:v>
                </c:pt>
                <c:pt idx="266">
                  <c:v>-35.043409629044987</c:v>
                </c:pt>
                <c:pt idx="267">
                  <c:v>-35.173501577287055</c:v>
                </c:pt>
                <c:pt idx="268">
                  <c:v>-35.303388494877879</c:v>
                </c:pt>
                <c:pt idx="269">
                  <c:v>-35.433070866141748</c:v>
                </c:pt>
                <c:pt idx="270">
                  <c:v>-35.562549173878836</c:v>
                </c:pt>
                <c:pt idx="271">
                  <c:v>-35.691823899371059</c:v>
                </c:pt>
                <c:pt idx="272">
                  <c:v>-35.820895522388071</c:v>
                </c:pt>
                <c:pt idx="273">
                  <c:v>-35.949764521193089</c:v>
                </c:pt>
                <c:pt idx="274">
                  <c:v>-36.078431372549005</c:v>
                </c:pt>
                <c:pt idx="275">
                  <c:v>-36.206896551724128</c:v>
                </c:pt>
                <c:pt idx="276">
                  <c:v>-36.335160532498065</c:v>
                </c:pt>
                <c:pt idx="277">
                  <c:v>-36.463223787167465</c:v>
                </c:pt>
                <c:pt idx="278">
                  <c:v>-36.591086786551983</c:v>
                </c:pt>
                <c:pt idx="279">
                  <c:v>-36.71875</c:v>
                </c:pt>
                <c:pt idx="280">
                  <c:v>-36.846213895394243</c:v>
                </c:pt>
                <c:pt idx="281">
                  <c:v>-36.973478939157559</c:v>
                </c:pt>
                <c:pt idx="282">
                  <c:v>-37.100545596258769</c:v>
                </c:pt>
                <c:pt idx="283">
                  <c:v>-37.227414330218068</c:v>
                </c:pt>
                <c:pt idx="284">
                  <c:v>-37.354085603112821</c:v>
                </c:pt>
                <c:pt idx="285">
                  <c:v>-37.480559875583197</c:v>
                </c:pt>
                <c:pt idx="286">
                  <c:v>-37.606837606837587</c:v>
                </c:pt>
                <c:pt idx="287">
                  <c:v>-37.732919254658384</c:v>
                </c:pt>
                <c:pt idx="288">
                  <c:v>-37.858805275407292</c:v>
                </c:pt>
                <c:pt idx="289">
                  <c:v>-37.984496124031011</c:v>
                </c:pt>
                <c:pt idx="290">
                  <c:v>-38.109992254066611</c:v>
                </c:pt>
                <c:pt idx="291">
                  <c:v>-38.235294117647072</c:v>
                </c:pt>
                <c:pt idx="292">
                  <c:v>-38.360402165506571</c:v>
                </c:pt>
                <c:pt idx="293">
                  <c:v>-38.48531684698608</c:v>
                </c:pt>
                <c:pt idx="294">
                  <c:v>-38.6100386100386</c:v>
                </c:pt>
                <c:pt idx="295">
                  <c:v>-38.734567901234584</c:v>
                </c:pt>
                <c:pt idx="296">
                  <c:v>-38.85890516576714</c:v>
                </c:pt>
                <c:pt idx="297">
                  <c:v>-38.983050847457633</c:v>
                </c:pt>
                <c:pt idx="298">
                  <c:v>-39.10700538876057</c:v>
                </c:pt>
                <c:pt idx="299">
                  <c:v>-39.230769230769226</c:v>
                </c:pt>
                <c:pt idx="300">
                  <c:v>-39.354342813220597</c:v>
                </c:pt>
                <c:pt idx="301">
                  <c:v>-39.477726574500764</c:v>
                </c:pt>
                <c:pt idx="302">
                  <c:v>-39.600920951650039</c:v>
                </c:pt>
                <c:pt idx="303">
                  <c:v>-39.723926380368113</c:v>
                </c:pt>
                <c:pt idx="304">
                  <c:v>-39.846743295019138</c:v>
                </c:pt>
                <c:pt idx="305">
                  <c:v>-39.969372128637076</c:v>
                </c:pt>
                <c:pt idx="306">
                  <c:v>-40.091813312930356</c:v>
                </c:pt>
                <c:pt idx="307">
                  <c:v>-40.214067278287473</c:v>
                </c:pt>
                <c:pt idx="308">
                  <c:v>-40.336134453781511</c:v>
                </c:pt>
                <c:pt idx="309">
                  <c:v>-40.458015267175568</c:v>
                </c:pt>
                <c:pt idx="310">
                  <c:v>-40.579710144927532</c:v>
                </c:pt>
                <c:pt idx="311">
                  <c:v>-40.701219512195138</c:v>
                </c:pt>
                <c:pt idx="312">
                  <c:v>-40.822543792840804</c:v>
                </c:pt>
                <c:pt idx="313">
                  <c:v>-40.943683409436829</c:v>
                </c:pt>
                <c:pt idx="314">
                  <c:v>-41.064638783269942</c:v>
                </c:pt>
                <c:pt idx="315">
                  <c:v>-41.1854103343465</c:v>
                </c:pt>
                <c:pt idx="316">
                  <c:v>-41.305998481397097</c:v>
                </c:pt>
                <c:pt idx="317">
                  <c:v>-41.426403641881649</c:v>
                </c:pt>
                <c:pt idx="318">
                  <c:v>-41.54662623199394</c:v>
                </c:pt>
                <c:pt idx="319">
                  <c:v>-41.666666666666686</c:v>
                </c:pt>
                <c:pt idx="320">
                  <c:v>-41.786525359576075</c:v>
                </c:pt>
                <c:pt idx="321">
                  <c:v>-41.906202723146748</c:v>
                </c:pt>
                <c:pt idx="322">
                  <c:v>-42.025699168556315</c:v>
                </c:pt>
                <c:pt idx="323">
                  <c:v>-42.145015105740185</c:v>
                </c:pt>
                <c:pt idx="324">
                  <c:v>-42.264150943396231</c:v>
                </c:pt>
                <c:pt idx="325">
                  <c:v>-42.383107088989448</c:v>
                </c:pt>
                <c:pt idx="326">
                  <c:v>-42.501883948756586</c:v>
                </c:pt>
                <c:pt idx="327">
                  <c:v>-42.620481927710841</c:v>
                </c:pt>
                <c:pt idx="328">
                  <c:v>-42.738901429646347</c:v>
                </c:pt>
                <c:pt idx="329">
                  <c:v>-42.857142857142861</c:v>
                </c:pt>
                <c:pt idx="330">
                  <c:v>-42.975206611570229</c:v>
                </c:pt>
                <c:pt idx="331">
                  <c:v>-43.093093093093103</c:v>
                </c:pt>
                <c:pt idx="332">
                  <c:v>-43.210802700675174</c:v>
                </c:pt>
                <c:pt idx="333">
                  <c:v>-43.32833583208398</c:v>
                </c:pt>
                <c:pt idx="334">
                  <c:v>-43.445692883895134</c:v>
                </c:pt>
                <c:pt idx="335">
                  <c:v>-43.562874251497021</c:v>
                </c:pt>
                <c:pt idx="336">
                  <c:v>-43.679880329094971</c:v>
                </c:pt>
                <c:pt idx="337">
                  <c:v>-43.796711509716005</c:v>
                </c:pt>
                <c:pt idx="338">
                  <c:v>-43.913368185212846</c:v>
                </c:pt>
                <c:pt idx="339">
                  <c:v>-44.029850746268664</c:v>
                </c:pt>
                <c:pt idx="340">
                  <c:v>-44.146159582401197</c:v>
                </c:pt>
                <c:pt idx="341">
                  <c:v>-44.26229508196721</c:v>
                </c:pt>
                <c:pt idx="342">
                  <c:v>-44.378257632166793</c:v>
                </c:pt>
                <c:pt idx="343">
                  <c:v>-44.494047619047592</c:v>
                </c:pt>
                <c:pt idx="344">
                  <c:v>-44.609665427509299</c:v>
                </c:pt>
                <c:pt idx="345">
                  <c:v>-44.725111441307575</c:v>
                </c:pt>
                <c:pt idx="346">
                  <c:v>-44.840386043058658</c:v>
                </c:pt>
                <c:pt idx="347">
                  <c:v>-44.955489614243305</c:v>
                </c:pt>
                <c:pt idx="348">
                  <c:v>-45.070422535211264</c:v>
                </c:pt>
                <c:pt idx="349">
                  <c:v>-45.18518518518519</c:v>
                </c:pt>
                <c:pt idx="350">
                  <c:v>-45.299777942264996</c:v>
                </c:pt>
                <c:pt idx="351">
                  <c:v>-45.414201183431942</c:v>
                </c:pt>
                <c:pt idx="352">
                  <c:v>-45.528455284552848</c:v>
                </c:pt>
                <c:pt idx="353">
                  <c:v>-45.642540620384068</c:v>
                </c:pt>
                <c:pt idx="354">
                  <c:v>-45.756457564575641</c:v>
                </c:pt>
                <c:pt idx="355">
                  <c:v>-45.870206489675496</c:v>
                </c:pt>
                <c:pt idx="356">
                  <c:v>-45.983787767133379</c:v>
                </c:pt>
                <c:pt idx="357">
                  <c:v>-46.097201767304881</c:v>
                </c:pt>
                <c:pt idx="358">
                  <c:v>-46.210448859455482</c:v>
                </c:pt>
                <c:pt idx="359">
                  <c:v>-46.323529411764696</c:v>
                </c:pt>
                <c:pt idx="360">
                  <c:v>-46.436443791329907</c:v>
                </c:pt>
                <c:pt idx="361">
                  <c:v>-46.549192364170352</c:v>
                </c:pt>
                <c:pt idx="362">
                  <c:v>-46.661775495231097</c:v>
                </c:pt>
                <c:pt idx="363">
                  <c:v>-46.774193548387075</c:v>
                </c:pt>
                <c:pt idx="364">
                  <c:v>-46.88644688644689</c:v>
                </c:pt>
                <c:pt idx="365">
                  <c:v>-46.998535871156662</c:v>
                </c:pt>
                <c:pt idx="366">
                  <c:v>-47.110460863204082</c:v>
                </c:pt>
                <c:pt idx="367">
                  <c:v>-47.2222222222222</c:v>
                </c:pt>
                <c:pt idx="368">
                  <c:v>-47.333820306793285</c:v>
                </c:pt>
                <c:pt idx="369">
                  <c:v>-47.44525547445258</c:v>
                </c:pt>
                <c:pt idx="370">
                  <c:v>-47.556528081692193</c:v>
                </c:pt>
                <c:pt idx="371">
                  <c:v>-47.667638483964993</c:v>
                </c:pt>
                <c:pt idx="372">
                  <c:v>-47.778587035688275</c:v>
                </c:pt>
                <c:pt idx="373">
                  <c:v>-47.889374090247458</c:v>
                </c:pt>
                <c:pt idx="374">
                  <c:v>-48</c:v>
                </c:pt>
                <c:pt idx="375">
                  <c:v>-48.110465116279045</c:v>
                </c:pt>
                <c:pt idx="376">
                  <c:v>-48.220769789397252</c:v>
                </c:pt>
                <c:pt idx="377">
                  <c:v>-48.330914368650241</c:v>
                </c:pt>
                <c:pt idx="378">
                  <c:v>-48.440899202320509</c:v>
                </c:pt>
                <c:pt idx="379">
                  <c:v>-48.550724637681157</c:v>
                </c:pt>
                <c:pt idx="380">
                  <c:v>-48.66039102099927</c:v>
                </c:pt>
                <c:pt idx="381">
                  <c:v>-48.769898697539816</c:v>
                </c:pt>
                <c:pt idx="382">
                  <c:v>-48.879248011569047</c:v>
                </c:pt>
                <c:pt idx="383">
                  <c:v>-48.988439306358373</c:v>
                </c:pt>
                <c:pt idx="384">
                  <c:v>-49.097472924187713</c:v>
                </c:pt>
                <c:pt idx="385">
                  <c:v>-49.206349206349216</c:v>
                </c:pt>
                <c:pt idx="386">
                  <c:v>-49.315068493150676</c:v>
                </c:pt>
                <c:pt idx="387">
                  <c:v>-49.423631123919307</c:v>
                </c:pt>
                <c:pt idx="388">
                  <c:v>-49.532037437005044</c:v>
                </c:pt>
                <c:pt idx="389">
                  <c:v>-49.64028776978418</c:v>
                </c:pt>
                <c:pt idx="390">
                  <c:v>-49.748382458662832</c:v>
                </c:pt>
                <c:pt idx="391">
                  <c:v>-49.856321839080437</c:v>
                </c:pt>
                <c:pt idx="392">
                  <c:v>-49.964106245513278</c:v>
                </c:pt>
                <c:pt idx="393">
                  <c:v>-50.071736011477782</c:v>
                </c:pt>
                <c:pt idx="394">
                  <c:v>-50.179211469534039</c:v>
                </c:pt>
                <c:pt idx="395">
                  <c:v>-50.286532951289388</c:v>
                </c:pt>
                <c:pt idx="396">
                  <c:v>-50.393700787401571</c:v>
                </c:pt>
                <c:pt idx="397">
                  <c:v>-50.500715307582283</c:v>
                </c:pt>
                <c:pt idx="398">
                  <c:v>-50.607576840600444</c:v>
                </c:pt>
                <c:pt idx="399">
                  <c:v>-50.714285714285694</c:v>
                </c:pt>
                <c:pt idx="400">
                  <c:v>-50.820842255531772</c:v>
                </c:pt>
                <c:pt idx="401">
                  <c:v>-50.927246790299591</c:v>
                </c:pt>
                <c:pt idx="402">
                  <c:v>-51.033499643620814</c:v>
                </c:pt>
                <c:pt idx="403">
                  <c:v>-51.139601139601126</c:v>
                </c:pt>
                <c:pt idx="404">
                  <c:v>-51.2455516014235</c:v>
                </c:pt>
                <c:pt idx="405">
                  <c:v>-51.351351351351354</c:v>
                </c:pt>
                <c:pt idx="406">
                  <c:v>-51.457000710732046</c:v>
                </c:pt>
                <c:pt idx="407">
                  <c:v>-51.5625</c:v>
                </c:pt>
                <c:pt idx="408">
                  <c:v>-51.667849538679917</c:v>
                </c:pt>
                <c:pt idx="409">
                  <c:v>-51.773049645390074</c:v>
                </c:pt>
                <c:pt idx="410">
                  <c:v>-51.878100637845506</c:v>
                </c:pt>
                <c:pt idx="411">
                  <c:v>-51.983002832861189</c:v>
                </c:pt>
                <c:pt idx="412">
                  <c:v>-52.08775654635528</c:v>
                </c:pt>
                <c:pt idx="413">
                  <c:v>-52.192362093352187</c:v>
                </c:pt>
                <c:pt idx="414">
                  <c:v>-52.296819787985868</c:v>
                </c:pt>
                <c:pt idx="415">
                  <c:v>-52.401129943502809</c:v>
                </c:pt>
                <c:pt idx="416">
                  <c:v>-52.505292872265358</c:v>
                </c:pt>
                <c:pt idx="417">
                  <c:v>-52.609308885754587</c:v>
                </c:pt>
                <c:pt idx="418">
                  <c:v>-52.713178294573652</c:v>
                </c:pt>
                <c:pt idx="419">
                  <c:v>-52.81690140845069</c:v>
                </c:pt>
                <c:pt idx="420">
                  <c:v>-52.920478536242086</c:v>
                </c:pt>
                <c:pt idx="421">
                  <c:v>-53.02390998593529</c:v>
                </c:pt>
                <c:pt idx="422">
                  <c:v>-53.127196064652139</c:v>
                </c:pt>
                <c:pt idx="423">
                  <c:v>-53.230337078651672</c:v>
                </c:pt>
                <c:pt idx="424">
                  <c:v>-53.333333333333343</c:v>
                </c:pt>
                <c:pt idx="425">
                  <c:v>-53.436185133239832</c:v>
                </c:pt>
                <c:pt idx="426">
                  <c:v>-53.538892782060259</c:v>
                </c:pt>
                <c:pt idx="427">
                  <c:v>-53.641456582633054</c:v>
                </c:pt>
                <c:pt idx="428">
                  <c:v>-53.743876836948914</c:v>
                </c:pt>
                <c:pt idx="429">
                  <c:v>-53.84615384615384</c:v>
                </c:pt>
                <c:pt idx="430">
                  <c:v>-53.948287910552068</c:v>
                </c:pt>
                <c:pt idx="431">
                  <c:v>-54.050279329608941</c:v>
                </c:pt>
                <c:pt idx="432">
                  <c:v>-54.152128401953945</c:v>
                </c:pt>
                <c:pt idx="433">
                  <c:v>-54.253835425383528</c:v>
                </c:pt>
                <c:pt idx="434">
                  <c:v>-54.355400696864109</c:v>
                </c:pt>
                <c:pt idx="435">
                  <c:v>-54.456824512534808</c:v>
                </c:pt>
                <c:pt idx="436">
                  <c:v>-54.558107167710517</c:v>
                </c:pt>
                <c:pt idx="437">
                  <c:v>-54.659248956884568</c:v>
                </c:pt>
                <c:pt idx="438">
                  <c:v>-54.760250173731777</c:v>
                </c:pt>
                <c:pt idx="439">
                  <c:v>-54.861111111111114</c:v>
                </c:pt>
                <c:pt idx="440">
                  <c:v>-54.961832061068719</c:v>
                </c:pt>
                <c:pt idx="441">
                  <c:v>-55.062413314840484</c:v>
                </c:pt>
                <c:pt idx="442">
                  <c:v>-55.16285516285518</c:v>
                </c:pt>
                <c:pt idx="443">
                  <c:v>-55.26315789473685</c:v>
                </c:pt>
                <c:pt idx="444">
                  <c:v>-55.363321799307954</c:v>
                </c:pt>
                <c:pt idx="445">
                  <c:v>-55.463347164591966</c:v>
                </c:pt>
                <c:pt idx="446">
                  <c:v>-55.563234277816179</c:v>
                </c:pt>
                <c:pt idx="447">
                  <c:v>-55.662983425414353</c:v>
                </c:pt>
                <c:pt idx="448">
                  <c:v>-55.762594893029672</c:v>
                </c:pt>
                <c:pt idx="449">
                  <c:v>-55.862068965517238</c:v>
                </c:pt>
                <c:pt idx="450">
                  <c:v>-55.961405926946952</c:v>
                </c:pt>
                <c:pt idx="451">
                  <c:v>-56.060606060606062</c:v>
                </c:pt>
                <c:pt idx="452">
                  <c:v>-56.159669649002069</c:v>
                </c:pt>
                <c:pt idx="453">
                  <c:v>-56.258596973865195</c:v>
                </c:pt>
                <c:pt idx="454">
                  <c:v>-56.357388316151201</c:v>
                </c:pt>
                <c:pt idx="455">
                  <c:v>-56.456043956043942</c:v>
                </c:pt>
                <c:pt idx="456">
                  <c:v>-56.554564172958152</c:v>
                </c:pt>
                <c:pt idx="457">
                  <c:v>-56.652949245541834</c:v>
                </c:pt>
                <c:pt idx="458">
                  <c:v>-56.751199451679241</c:v>
                </c:pt>
                <c:pt idx="459">
                  <c:v>-56.849315068493155</c:v>
                </c:pt>
                <c:pt idx="460">
                  <c:v>-56.947296372347722</c:v>
                </c:pt>
                <c:pt idx="461">
                  <c:v>-57.045143638850874</c:v>
                </c:pt>
                <c:pt idx="462">
                  <c:v>-57.142857142857139</c:v>
                </c:pt>
                <c:pt idx="463">
                  <c:v>-57.240437158469945</c:v>
                </c:pt>
                <c:pt idx="464">
                  <c:v>-57.337883959044376</c:v>
                </c:pt>
                <c:pt idx="465">
                  <c:v>-57.435197817189618</c:v>
                </c:pt>
                <c:pt idx="466">
                  <c:v>-57.532379004771656</c:v>
                </c:pt>
                <c:pt idx="467">
                  <c:v>-57.629427792915521</c:v>
                </c:pt>
                <c:pt idx="468">
                  <c:v>-57.726344452008163</c:v>
                </c:pt>
                <c:pt idx="469">
                  <c:v>-57.823129251700664</c:v>
                </c:pt>
                <c:pt idx="470">
                  <c:v>-57.919782460910966</c:v>
                </c:pt>
                <c:pt idx="471">
                  <c:v>-58.016304347826093</c:v>
                </c:pt>
                <c:pt idx="472">
                  <c:v>-58.112695179904932</c:v>
                </c:pt>
                <c:pt idx="473">
                  <c:v>-58.208955223880594</c:v>
                </c:pt>
                <c:pt idx="474">
                  <c:v>-58.305084745762713</c:v>
                </c:pt>
                <c:pt idx="475">
                  <c:v>-58.401084010840094</c:v>
                </c:pt>
                <c:pt idx="476">
                  <c:v>-58.496953283683126</c:v>
                </c:pt>
                <c:pt idx="477">
                  <c:v>-58.592692828146141</c:v>
                </c:pt>
                <c:pt idx="478">
                  <c:v>-58.688302907369859</c:v>
                </c:pt>
                <c:pt idx="479">
                  <c:v>-58.783783783783775</c:v>
                </c:pt>
                <c:pt idx="480">
                  <c:v>-58.879135719108689</c:v>
                </c:pt>
                <c:pt idx="481">
                  <c:v>-58.974358974358978</c:v>
                </c:pt>
                <c:pt idx="482">
                  <c:v>-59.06945380984493</c:v>
                </c:pt>
                <c:pt idx="483">
                  <c:v>-59.164420485175214</c:v>
                </c:pt>
                <c:pt idx="484">
                  <c:v>-59.259259259259238</c:v>
                </c:pt>
                <c:pt idx="485">
                  <c:v>-59.353970390309541</c:v>
                </c:pt>
                <c:pt idx="486">
                  <c:v>-59.448554135843978</c:v>
                </c:pt>
                <c:pt idx="487">
                  <c:v>-59.543010752688161</c:v>
                </c:pt>
                <c:pt idx="488">
                  <c:v>-59.637340496977828</c:v>
                </c:pt>
                <c:pt idx="489">
                  <c:v>-59.731543624161077</c:v>
                </c:pt>
                <c:pt idx="490">
                  <c:v>-59.825620389000676</c:v>
                </c:pt>
                <c:pt idx="491">
                  <c:v>-59.919571045576419</c:v>
                </c:pt>
                <c:pt idx="492">
                  <c:v>-60.013395847287342</c:v>
                </c:pt>
                <c:pt idx="493">
                  <c:v>-60.107095046854084</c:v>
                </c:pt>
                <c:pt idx="494">
                  <c:v>-60.200668896321076</c:v>
                </c:pt>
                <c:pt idx="495">
                  <c:v>-60.294117647058812</c:v>
                </c:pt>
                <c:pt idx="496">
                  <c:v>-60.38744154976618</c:v>
                </c:pt>
                <c:pt idx="497">
                  <c:v>-60.480640854472625</c:v>
                </c:pt>
                <c:pt idx="498">
                  <c:v>-60.573715810540364</c:v>
                </c:pt>
                <c:pt idx="499">
                  <c:v>-60.666666666666657</c:v>
                </c:pt>
                <c:pt idx="500">
                  <c:v>-60.759493670886059</c:v>
                </c:pt>
                <c:pt idx="501">
                  <c:v>-60.852197070572572</c:v>
                </c:pt>
                <c:pt idx="502">
                  <c:v>-60.944777112441784</c:v>
                </c:pt>
                <c:pt idx="503">
                  <c:v>-61.037234042553195</c:v>
                </c:pt>
                <c:pt idx="504">
                  <c:v>-61.129568106312291</c:v>
                </c:pt>
                <c:pt idx="505">
                  <c:v>-61.221779548472767</c:v>
                </c:pt>
                <c:pt idx="506">
                  <c:v>-61.313868613138709</c:v>
                </c:pt>
                <c:pt idx="507">
                  <c:v>-61.405835543766585</c:v>
                </c:pt>
                <c:pt idx="508">
                  <c:v>-61.497680583167664</c:v>
                </c:pt>
                <c:pt idx="509">
                  <c:v>-61.589403973509945</c:v>
                </c:pt>
                <c:pt idx="510">
                  <c:v>-61.68100595632032</c:v>
                </c:pt>
                <c:pt idx="511">
                  <c:v>-61.772486772486786</c:v>
                </c:pt>
                <c:pt idx="512">
                  <c:v>-61.863846662260414</c:v>
                </c:pt>
                <c:pt idx="513">
                  <c:v>-61.955085865257587</c:v>
                </c:pt>
                <c:pt idx="514">
                  <c:v>-62.046204620462049</c:v>
                </c:pt>
                <c:pt idx="515">
                  <c:v>-62.137203166226925</c:v>
                </c:pt>
                <c:pt idx="516">
                  <c:v>-62.228081740276849</c:v>
                </c:pt>
                <c:pt idx="517">
                  <c:v>-62.318840579710155</c:v>
                </c:pt>
                <c:pt idx="518">
                  <c:v>-62.409479921000667</c:v>
                </c:pt>
                <c:pt idx="519">
                  <c:v>-62.5</c:v>
                </c:pt>
                <c:pt idx="520">
                  <c:v>-62.590401051939494</c:v>
                </c:pt>
                <c:pt idx="521">
                  <c:v>-62.680683311432318</c:v>
                </c:pt>
                <c:pt idx="522">
                  <c:v>-62.7708470124754</c:v>
                </c:pt>
                <c:pt idx="523">
                  <c:v>-62.860892388451447</c:v>
                </c:pt>
                <c:pt idx="524">
                  <c:v>-62.950819672131132</c:v>
                </c:pt>
                <c:pt idx="525">
                  <c:v>-63.040629095674973</c:v>
                </c:pt>
                <c:pt idx="526">
                  <c:v>-63.130320890635232</c:v>
                </c:pt>
                <c:pt idx="527">
                  <c:v>-63.21989528795811</c:v>
                </c:pt>
                <c:pt idx="528">
                  <c:v>-63.309352517985616</c:v>
                </c:pt>
                <c:pt idx="529">
                  <c:v>-63.398692810457533</c:v>
                </c:pt>
                <c:pt idx="530">
                  <c:v>-63.487916394513405</c:v>
                </c:pt>
                <c:pt idx="531">
                  <c:v>-63.57702349869453</c:v>
                </c:pt>
                <c:pt idx="532">
                  <c:v>-63.666014350945858</c:v>
                </c:pt>
                <c:pt idx="533">
                  <c:v>-63.754889178617987</c:v>
                </c:pt>
                <c:pt idx="534">
                  <c:v>-63.843648208469062</c:v>
                </c:pt>
                <c:pt idx="535">
                  <c:v>-63.932291666666657</c:v>
                </c:pt>
                <c:pt idx="536">
                  <c:v>-64.020819778789843</c:v>
                </c:pt>
                <c:pt idx="537">
                  <c:v>-64.109232769830953</c:v>
                </c:pt>
                <c:pt idx="538">
                  <c:v>-64.197530864197546</c:v>
                </c:pt>
                <c:pt idx="539">
                  <c:v>-64.285714285714278</c:v>
                </c:pt>
                <c:pt idx="540">
                  <c:v>-64.373783257624922</c:v>
                </c:pt>
                <c:pt idx="541">
                  <c:v>-64.461738002594046</c:v>
                </c:pt>
                <c:pt idx="542">
                  <c:v>-64.549578742709031</c:v>
                </c:pt>
                <c:pt idx="543">
                  <c:v>-64.637305699481857</c:v>
                </c:pt>
                <c:pt idx="544">
                  <c:v>-64.724919093851128</c:v>
                </c:pt>
                <c:pt idx="545">
                  <c:v>-64.812419146183714</c:v>
                </c:pt>
                <c:pt idx="546">
                  <c:v>-64.89980607627669</c:v>
                </c:pt>
                <c:pt idx="547">
                  <c:v>-64.987080103359176</c:v>
                </c:pt>
                <c:pt idx="548">
                  <c:v>-65.074241446094248</c:v>
                </c:pt>
                <c:pt idx="549">
                  <c:v>-65.161290322580641</c:v>
                </c:pt>
                <c:pt idx="550">
                  <c:v>-65.248226950354621</c:v>
                </c:pt>
                <c:pt idx="551">
                  <c:v>-65.335051546391753</c:v>
                </c:pt>
                <c:pt idx="552">
                  <c:v>-65.421764327108804</c:v>
                </c:pt>
                <c:pt idx="553">
                  <c:v>-65.5083655083655</c:v>
                </c:pt>
                <c:pt idx="554">
                  <c:v>-65.59485530546624</c:v>
                </c:pt>
                <c:pt idx="555">
                  <c:v>-65.681233933161963</c:v>
                </c:pt>
                <c:pt idx="556">
                  <c:v>-65.767501605651887</c:v>
                </c:pt>
                <c:pt idx="557">
                  <c:v>-65.853658536585357</c:v>
                </c:pt>
                <c:pt idx="558">
                  <c:v>-65.939704939063517</c:v>
                </c:pt>
                <c:pt idx="559">
                  <c:v>-66.025641025641022</c:v>
                </c:pt>
                <c:pt idx="560">
                  <c:v>-66.111467008327992</c:v>
                </c:pt>
                <c:pt idx="561">
                  <c:v>-66.197183098591552</c:v>
                </c:pt>
                <c:pt idx="562">
                  <c:v>-66.282789507357649</c:v>
                </c:pt>
                <c:pt idx="563">
                  <c:v>-66.368286445012785</c:v>
                </c:pt>
                <c:pt idx="564">
                  <c:v>-66.453674121405754</c:v>
                </c:pt>
                <c:pt idx="565">
                  <c:v>-66.538952745849286</c:v>
                </c:pt>
                <c:pt idx="566">
                  <c:v>-66.624122527121898</c:v>
                </c:pt>
                <c:pt idx="567">
                  <c:v>-66.709183673469397</c:v>
                </c:pt>
                <c:pt idx="568">
                  <c:v>-66.79413639260676</c:v>
                </c:pt>
                <c:pt idx="569">
                  <c:v>-66.878980891719721</c:v>
                </c:pt>
                <c:pt idx="570">
                  <c:v>-66.963717377466565</c:v>
                </c:pt>
                <c:pt idx="571">
                  <c:v>-67.048346055979636</c:v>
                </c:pt>
                <c:pt idx="572">
                  <c:v>-67.132867132867119</c:v>
                </c:pt>
                <c:pt idx="573">
                  <c:v>-67.217280813214728</c:v>
                </c:pt>
                <c:pt idx="574">
                  <c:v>-67.30158730158729</c:v>
                </c:pt>
                <c:pt idx="575">
                  <c:v>-67.385786802030452</c:v>
                </c:pt>
                <c:pt idx="576">
                  <c:v>-67.469879518072275</c:v>
                </c:pt>
                <c:pt idx="577">
                  <c:v>-67.553865652724966</c:v>
                </c:pt>
                <c:pt idx="578">
                  <c:v>-67.637745408486381</c:v>
                </c:pt>
                <c:pt idx="579">
                  <c:v>-67.721518987341767</c:v>
                </c:pt>
                <c:pt idx="580">
                  <c:v>-67.805186590765345</c:v>
                </c:pt>
                <c:pt idx="581">
                  <c:v>-67.88874841972185</c:v>
                </c:pt>
                <c:pt idx="582">
                  <c:v>-67.972204674668347</c:v>
                </c:pt>
                <c:pt idx="583">
                  <c:v>-68.055555555555571</c:v>
                </c:pt>
                <c:pt idx="584">
                  <c:v>-68.138801261829656</c:v>
                </c:pt>
                <c:pt idx="585">
                  <c:v>-68.221941992433784</c:v>
                </c:pt>
                <c:pt idx="586">
                  <c:v>-68.304977945809696</c:v>
                </c:pt>
                <c:pt idx="587">
                  <c:v>-68.387909319899251</c:v>
                </c:pt>
                <c:pt idx="588">
                  <c:v>-68.470736312145988</c:v>
                </c:pt>
                <c:pt idx="589">
                  <c:v>-68.553459119496836</c:v>
                </c:pt>
                <c:pt idx="590">
                  <c:v>-68.636077938403531</c:v>
                </c:pt>
                <c:pt idx="591">
                  <c:v>-68.718592964824126</c:v>
                </c:pt>
                <c:pt idx="592">
                  <c:v>-68.801004394224719</c:v>
                </c:pt>
                <c:pt idx="593">
                  <c:v>-68.883312421580911</c:v>
                </c:pt>
                <c:pt idx="594">
                  <c:v>-68.965517241379303</c:v>
                </c:pt>
                <c:pt idx="595">
                  <c:v>-69.047619047619065</c:v>
                </c:pt>
                <c:pt idx="596">
                  <c:v>-69.129618033813387</c:v>
                </c:pt>
                <c:pt idx="597">
                  <c:v>-69.211514392991234</c:v>
                </c:pt>
                <c:pt idx="598">
                  <c:v>-69.293308317698546</c:v>
                </c:pt>
                <c:pt idx="599">
                  <c:v>-69.375</c:v>
                </c:pt>
                <c:pt idx="600">
                  <c:v>-69.456589631480313</c:v>
                </c:pt>
                <c:pt idx="601">
                  <c:v>-69.538077403245921</c:v>
                </c:pt>
                <c:pt idx="602">
                  <c:v>-69.619463505926376</c:v>
                </c:pt>
                <c:pt idx="603">
                  <c:v>-69.700748129675816</c:v>
                </c:pt>
                <c:pt idx="604">
                  <c:v>-69.781931464174448</c:v>
                </c:pt>
                <c:pt idx="605">
                  <c:v>-69.863013698630112</c:v>
                </c:pt>
                <c:pt idx="606">
                  <c:v>-69.943995021779699</c:v>
                </c:pt>
                <c:pt idx="607">
                  <c:v>-70.024875621890544</c:v>
                </c:pt>
                <c:pt idx="608">
                  <c:v>-70.105655686761963</c:v>
                </c:pt>
                <c:pt idx="609">
                  <c:v>-70.186335403726702</c:v>
                </c:pt>
                <c:pt idx="610">
                  <c:v>-70.266914959652382</c:v>
                </c:pt>
                <c:pt idx="611">
                  <c:v>-70.347394540942929</c:v>
                </c:pt>
                <c:pt idx="612">
                  <c:v>-70.427774333539986</c:v>
                </c:pt>
                <c:pt idx="613">
                  <c:v>-70.508054522924397</c:v>
                </c:pt>
                <c:pt idx="614">
                  <c:v>-70.588235294117652</c:v>
                </c:pt>
                <c:pt idx="615">
                  <c:v>-70.668316831683171</c:v>
                </c:pt>
                <c:pt idx="616">
                  <c:v>-70.748299319727892</c:v>
                </c:pt>
                <c:pt idx="617">
                  <c:v>-70.828182941903577</c:v>
                </c:pt>
                <c:pt idx="618">
                  <c:v>-70.907967881408268</c:v>
                </c:pt>
                <c:pt idx="619">
                  <c:v>-70.987654320987673</c:v>
                </c:pt>
                <c:pt idx="620">
                  <c:v>-71.067242442936447</c:v>
                </c:pt>
                <c:pt idx="621">
                  <c:v>-71.14673242909987</c:v>
                </c:pt>
                <c:pt idx="622">
                  <c:v>-71.226124460874928</c:v>
                </c:pt>
                <c:pt idx="623">
                  <c:v>-71.305418719211843</c:v>
                </c:pt>
                <c:pt idx="624">
                  <c:v>-71.384615384615387</c:v>
                </c:pt>
                <c:pt idx="625">
                  <c:v>-71.463714637146353</c:v>
                </c:pt>
                <c:pt idx="626">
                  <c:v>-71.542716656422868</c:v>
                </c:pt>
                <c:pt idx="627">
                  <c:v>-71.621621621621642</c:v>
                </c:pt>
                <c:pt idx="628">
                  <c:v>-71.700429711479444</c:v>
                </c:pt>
                <c:pt idx="629">
                  <c:v>-71.779141104294467</c:v>
                </c:pt>
                <c:pt idx="630">
                  <c:v>-71.857755977927638</c:v>
                </c:pt>
                <c:pt idx="631">
                  <c:v>-71.936274509803923</c:v>
                </c:pt>
                <c:pt idx="632">
                  <c:v>-72.014696876913661</c:v>
                </c:pt>
                <c:pt idx="633">
                  <c:v>-72.093023255813947</c:v>
                </c:pt>
                <c:pt idx="634">
                  <c:v>-72.171253822629964</c:v>
                </c:pt>
                <c:pt idx="635">
                  <c:v>-72.249388753056238</c:v>
                </c:pt>
                <c:pt idx="636">
                  <c:v>-72.327428222357966</c:v>
                </c:pt>
                <c:pt idx="637">
                  <c:v>-72.405372405372404</c:v>
                </c:pt>
                <c:pt idx="638">
                  <c:v>-72.483221476510067</c:v>
                </c:pt>
                <c:pt idx="639">
                  <c:v>-72.560975609756113</c:v>
                </c:pt>
                <c:pt idx="640">
                  <c:v>-72.638634978671547</c:v>
                </c:pt>
                <c:pt idx="641">
                  <c:v>-72.71619975639463</c:v>
                </c:pt>
                <c:pt idx="642">
                  <c:v>-72.793670115642115</c:v>
                </c:pt>
                <c:pt idx="643">
                  <c:v>-72.871046228710469</c:v>
                </c:pt>
                <c:pt idx="644">
                  <c:v>-72.948328267477208</c:v>
                </c:pt>
                <c:pt idx="645">
                  <c:v>-73.025516403402179</c:v>
                </c:pt>
                <c:pt idx="646">
                  <c:v>-73.102610807528848</c:v>
                </c:pt>
                <c:pt idx="647">
                  <c:v>-73.179611650485441</c:v>
                </c:pt>
                <c:pt idx="648">
                  <c:v>-73.256519102486351</c:v>
                </c:pt>
                <c:pt idx="649">
                  <c:v>-73.333333333333329</c:v>
                </c:pt>
                <c:pt idx="650">
                  <c:v>-73.410054512416721</c:v>
                </c:pt>
                <c:pt idx="651">
                  <c:v>-73.486682808716722</c:v>
                </c:pt>
                <c:pt idx="652">
                  <c:v>-73.563218390804593</c:v>
                </c:pt>
                <c:pt idx="653">
                  <c:v>-73.639661426844015</c:v>
                </c:pt>
                <c:pt idx="654">
                  <c:v>-73.716012084592151</c:v>
                </c:pt>
                <c:pt idx="655">
                  <c:v>-73.792270531400973</c:v>
                </c:pt>
                <c:pt idx="656">
                  <c:v>-73.868436934218465</c:v>
                </c:pt>
                <c:pt idx="657">
                  <c:v>-73.944511459589862</c:v>
                </c:pt>
                <c:pt idx="658">
                  <c:v>-74.020494273658827</c:v>
                </c:pt>
                <c:pt idx="659">
                  <c:v>-74.09638554216869</c:v>
                </c:pt>
                <c:pt idx="660">
                  <c:v>-74.172185430463585</c:v>
                </c:pt>
                <c:pt idx="661">
                  <c:v>-74.24789410348977</c:v>
                </c:pt>
                <c:pt idx="662">
                  <c:v>-74.323511725796749</c:v>
                </c:pt>
                <c:pt idx="663">
                  <c:v>-74.399038461538467</c:v>
                </c:pt>
                <c:pt idx="664">
                  <c:v>-74.474474474474476</c:v>
                </c:pt>
                <c:pt idx="665">
                  <c:v>-74.549819927971186</c:v>
                </c:pt>
                <c:pt idx="666">
                  <c:v>-74.625074985002996</c:v>
                </c:pt>
                <c:pt idx="667">
                  <c:v>-74.700239808153484</c:v>
                </c:pt>
                <c:pt idx="668">
                  <c:v>-74.775314559616547</c:v>
                </c:pt>
                <c:pt idx="669">
                  <c:v>-74.850299401197603</c:v>
                </c:pt>
                <c:pt idx="670">
                  <c:v>-74.925194494314781</c:v>
                </c:pt>
                <c:pt idx="671">
                  <c:v>-75.000000000000014</c:v>
                </c:pt>
                <c:pt idx="672">
                  <c:v>-75.074716078900181</c:v>
                </c:pt>
                <c:pt idx="673">
                  <c:v>-75.149342891278366</c:v>
                </c:pt>
                <c:pt idx="674">
                  <c:v>-75.223880597014926</c:v>
                </c:pt>
                <c:pt idx="675">
                  <c:v>-75.298329355608601</c:v>
                </c:pt>
                <c:pt idx="676">
                  <c:v>-75.372689326177706</c:v>
                </c:pt>
                <c:pt idx="677">
                  <c:v>-75.446960667461255</c:v>
                </c:pt>
                <c:pt idx="678">
                  <c:v>-75.521143537820137</c:v>
                </c:pt>
                <c:pt idx="679">
                  <c:v>-75.595238095238102</c:v>
                </c:pt>
                <c:pt idx="680">
                  <c:v>-75.669244497323021</c:v>
                </c:pt>
                <c:pt idx="681">
                  <c:v>-75.743162901307969</c:v>
                </c:pt>
                <c:pt idx="682">
                  <c:v>-75.816993464052288</c:v>
                </c:pt>
                <c:pt idx="683">
                  <c:v>-75.890736342042771</c:v>
                </c:pt>
                <c:pt idx="684">
                  <c:v>-75.964391691394667</c:v>
                </c:pt>
                <c:pt idx="685">
                  <c:v>-76.037959667852903</c:v>
                </c:pt>
                <c:pt idx="686">
                  <c:v>-76.111440426793123</c:v>
                </c:pt>
                <c:pt idx="687">
                  <c:v>-76.184834123222743</c:v>
                </c:pt>
                <c:pt idx="688">
                  <c:v>-76.258140911782121</c:v>
                </c:pt>
                <c:pt idx="689">
                  <c:v>-76.331360946745562</c:v>
                </c:pt>
                <c:pt idx="690">
                  <c:v>-76.404494382022463</c:v>
                </c:pt>
                <c:pt idx="691">
                  <c:v>-76.477541371158395</c:v>
                </c:pt>
                <c:pt idx="692">
                  <c:v>-76.550502067336097</c:v>
                </c:pt>
                <c:pt idx="693">
                  <c:v>-76.623376623376615</c:v>
                </c:pt>
                <c:pt idx="694">
                  <c:v>-76.696165191740405</c:v>
                </c:pt>
                <c:pt idx="695">
                  <c:v>-76.768867924528294</c:v>
                </c:pt>
                <c:pt idx="696">
                  <c:v>-76.841484973482622</c:v>
                </c:pt>
                <c:pt idx="697">
                  <c:v>-76.914016489988214</c:v>
                </c:pt>
                <c:pt idx="698">
                  <c:v>-76.986462625073557</c:v>
                </c:pt>
                <c:pt idx="699">
                  <c:v>-77.058823529411768</c:v>
                </c:pt>
                <c:pt idx="700">
                  <c:v>-77.131099353321574</c:v>
                </c:pt>
                <c:pt idx="701">
                  <c:v>-77.203290246768503</c:v>
                </c:pt>
                <c:pt idx="702">
                  <c:v>-77.275396359365814</c:v>
                </c:pt>
                <c:pt idx="703">
                  <c:v>-77.347417840375584</c:v>
                </c:pt>
                <c:pt idx="704">
                  <c:v>-77.41935483870968</c:v>
                </c:pt>
                <c:pt idx="705">
                  <c:v>-77.491207502930834</c:v>
                </c:pt>
                <c:pt idx="706">
                  <c:v>-77.562975981253658</c:v>
                </c:pt>
                <c:pt idx="707">
                  <c:v>-77.634660421545661</c:v>
                </c:pt>
                <c:pt idx="708">
                  <c:v>-77.706260971328263</c:v>
                </c:pt>
                <c:pt idx="709">
                  <c:v>-77.777777777777771</c:v>
                </c:pt>
                <c:pt idx="710">
                  <c:v>-77.849210987726465</c:v>
                </c:pt>
                <c:pt idx="711">
                  <c:v>-77.920560747663544</c:v>
                </c:pt>
                <c:pt idx="712">
                  <c:v>-77.991827203736136</c:v>
                </c:pt>
                <c:pt idx="713">
                  <c:v>-78.063010501750284</c:v>
                </c:pt>
                <c:pt idx="714">
                  <c:v>-78.134110787172006</c:v>
                </c:pt>
                <c:pt idx="715">
                  <c:v>-78.205128205128204</c:v>
                </c:pt>
                <c:pt idx="716">
                  <c:v>-78.276062900407695</c:v>
                </c:pt>
                <c:pt idx="717">
                  <c:v>-78.346915017462166</c:v>
                </c:pt>
                <c:pt idx="718">
                  <c:v>-78.417684700407207</c:v>
                </c:pt>
                <c:pt idx="719">
                  <c:v>-78.488372093023258</c:v>
                </c:pt>
                <c:pt idx="720">
                  <c:v>-78.558977338756549</c:v>
                </c:pt>
                <c:pt idx="721">
                  <c:v>-78.629500580720091</c:v>
                </c:pt>
                <c:pt idx="722">
                  <c:v>-78.699941961694705</c:v>
                </c:pt>
                <c:pt idx="723">
                  <c:v>-78.770301624129928</c:v>
                </c:pt>
                <c:pt idx="724">
                  <c:v>-78.840579710144937</c:v>
                </c:pt>
                <c:pt idx="725">
                  <c:v>-78.910776361529543</c:v>
                </c:pt>
                <c:pt idx="726">
                  <c:v>-78.980891719745216</c:v>
                </c:pt>
                <c:pt idx="727">
                  <c:v>-79.050925925925924</c:v>
                </c:pt>
                <c:pt idx="728">
                  <c:v>-79.120879120879124</c:v>
                </c:pt>
                <c:pt idx="729">
                  <c:v>-79.190751445086704</c:v>
                </c:pt>
                <c:pt idx="730">
                  <c:v>-79.260543038705947</c:v>
                </c:pt>
                <c:pt idx="731">
                  <c:v>-79.330254041570441</c:v>
                </c:pt>
                <c:pt idx="732">
                  <c:v>-79.399884593191004</c:v>
                </c:pt>
                <c:pt idx="733">
                  <c:v>-79.469434832756633</c:v>
                </c:pt>
                <c:pt idx="734">
                  <c:v>-79.538904899135431</c:v>
                </c:pt>
                <c:pt idx="735">
                  <c:v>-79.608294930875573</c:v>
                </c:pt>
                <c:pt idx="736">
                  <c:v>-79.677605066206112</c:v>
                </c:pt>
                <c:pt idx="737">
                  <c:v>-79.74683544303798</c:v>
                </c:pt>
                <c:pt idx="738">
                  <c:v>-79.815986198964907</c:v>
                </c:pt>
                <c:pt idx="739">
                  <c:v>-79.885057471264361</c:v>
                </c:pt>
                <c:pt idx="740">
                  <c:v>-79.954049396898341</c:v>
                </c:pt>
                <c:pt idx="741">
                  <c:v>-80.02296211251435</c:v>
                </c:pt>
                <c:pt idx="742">
                  <c:v>-80.091795754446352</c:v>
                </c:pt>
                <c:pt idx="743">
                  <c:v>-80.160550458715591</c:v>
                </c:pt>
                <c:pt idx="744">
                  <c:v>-80.229226361031522</c:v>
                </c:pt>
                <c:pt idx="745">
                  <c:v>-80.297823596792668</c:v>
                </c:pt>
                <c:pt idx="746">
                  <c:v>-80.36634230108757</c:v>
                </c:pt>
                <c:pt idx="747">
                  <c:v>-80.434782608695656</c:v>
                </c:pt>
                <c:pt idx="748">
                  <c:v>-80.503144654088061</c:v>
                </c:pt>
                <c:pt idx="749">
                  <c:v>-80.571428571428569</c:v>
                </c:pt>
                <c:pt idx="750">
                  <c:v>-80.639634494574523</c:v>
                </c:pt>
                <c:pt idx="751">
                  <c:v>-80.707762557077629</c:v>
                </c:pt>
                <c:pt idx="752">
                  <c:v>-80.775812892184831</c:v>
                </c:pt>
                <c:pt idx="753">
                  <c:v>-80.843785632839229</c:v>
                </c:pt>
                <c:pt idx="754">
                  <c:v>-80.911680911680904</c:v>
                </c:pt>
                <c:pt idx="755">
                  <c:v>-80.97949886104783</c:v>
                </c:pt>
                <c:pt idx="756">
                  <c:v>-81.047239612976668</c:v>
                </c:pt>
                <c:pt idx="757">
                  <c:v>-81.114903299203647</c:v>
                </c:pt>
                <c:pt idx="758">
                  <c:v>-81.182490051165431</c:v>
                </c:pt>
                <c:pt idx="759">
                  <c:v>-81.25</c:v>
                </c:pt>
                <c:pt idx="760">
                  <c:v>-81.317433276547419</c:v>
                </c:pt>
                <c:pt idx="761">
                  <c:v>-81.384790011350745</c:v>
                </c:pt>
                <c:pt idx="762">
                  <c:v>-81.452070334656824</c:v>
                </c:pt>
                <c:pt idx="763">
                  <c:v>-81.519274376417229</c:v>
                </c:pt>
                <c:pt idx="764">
                  <c:v>-81.586402266288957</c:v>
                </c:pt>
                <c:pt idx="765">
                  <c:v>-81.653454133635336</c:v>
                </c:pt>
                <c:pt idx="766">
                  <c:v>-81.72043010752688</c:v>
                </c:pt>
                <c:pt idx="767">
                  <c:v>-81.787330316742086</c:v>
                </c:pt>
                <c:pt idx="768">
                  <c:v>-81.854154889768239</c:v>
                </c:pt>
                <c:pt idx="769">
                  <c:v>-81.920903954802256</c:v>
                </c:pt>
                <c:pt idx="770">
                  <c:v>-81.987577639751549</c:v>
                </c:pt>
                <c:pt idx="771">
                  <c:v>-82.054176072234768</c:v>
                </c:pt>
                <c:pt idx="772">
                  <c:v>-82.120699379582632</c:v>
                </c:pt>
                <c:pt idx="773">
                  <c:v>-82.187147688838778</c:v>
                </c:pt>
                <c:pt idx="774">
                  <c:v>-82.25352112676056</c:v>
                </c:pt>
                <c:pt idx="775">
                  <c:v>-82.319819819819827</c:v>
                </c:pt>
                <c:pt idx="776">
                  <c:v>-82.386043894203723</c:v>
                </c:pt>
                <c:pt idx="777">
                  <c:v>-82.45219347581552</c:v>
                </c:pt>
                <c:pt idx="778">
                  <c:v>-82.518268690275434</c:v>
                </c:pt>
                <c:pt idx="779">
                  <c:v>-82.584269662921344</c:v>
                </c:pt>
                <c:pt idx="780">
                  <c:v>-82.650196518809665</c:v>
                </c:pt>
                <c:pt idx="781">
                  <c:v>-82.716049382716051</c:v>
                </c:pt>
                <c:pt idx="782">
                  <c:v>-82.781828379136286</c:v>
                </c:pt>
                <c:pt idx="783">
                  <c:v>-82.847533632286996</c:v>
                </c:pt>
                <c:pt idx="784">
                  <c:v>-82.913165266106446</c:v>
                </c:pt>
                <c:pt idx="785">
                  <c:v>-82.978723404255319</c:v>
                </c:pt>
                <c:pt idx="786">
                  <c:v>-83.044208170117514</c:v>
                </c:pt>
                <c:pt idx="787">
                  <c:v>-83.109619686800897</c:v>
                </c:pt>
                <c:pt idx="788">
                  <c:v>-83.174958077138072</c:v>
                </c:pt>
                <c:pt idx="789">
                  <c:v>-83.240223463687158</c:v>
                </c:pt>
                <c:pt idx="790">
                  <c:v>-83.305415968732547</c:v>
                </c:pt>
                <c:pt idx="791">
                  <c:v>-83.370535714285722</c:v>
                </c:pt>
                <c:pt idx="792">
                  <c:v>-83.435582822085905</c:v>
                </c:pt>
                <c:pt idx="793">
                  <c:v>-83.500557413600887</c:v>
                </c:pt>
                <c:pt idx="794">
                  <c:v>-83.565459610027844</c:v>
                </c:pt>
                <c:pt idx="795">
                  <c:v>-83.630289532293986</c:v>
                </c:pt>
                <c:pt idx="796">
                  <c:v>-83.695047301057329</c:v>
                </c:pt>
                <c:pt idx="797">
                  <c:v>-83.759733036707459</c:v>
                </c:pt>
                <c:pt idx="798">
                  <c:v>-83.824346859366315</c:v>
                </c:pt>
                <c:pt idx="799">
                  <c:v>-83.888888888888886</c:v>
                </c:pt>
                <c:pt idx="800">
                  <c:v>-83.953359244863975</c:v>
                </c:pt>
                <c:pt idx="801">
                  <c:v>-84.017758046614873</c:v>
                </c:pt>
                <c:pt idx="802">
                  <c:v>-84.082085413200218</c:v>
                </c:pt>
                <c:pt idx="803">
                  <c:v>-84.146341463414643</c:v>
                </c:pt>
                <c:pt idx="804">
                  <c:v>-84.21052631578948</c:v>
                </c:pt>
                <c:pt idx="805">
                  <c:v>-84.274640088593586</c:v>
                </c:pt>
                <c:pt idx="806">
                  <c:v>-84.338682899833969</c:v>
                </c:pt>
                <c:pt idx="807">
                  <c:v>-84.402654867256643</c:v>
                </c:pt>
                <c:pt idx="808">
                  <c:v>-84.466556108347163</c:v>
                </c:pt>
                <c:pt idx="809">
                  <c:v>-84.530386740331494</c:v>
                </c:pt>
                <c:pt idx="810">
                  <c:v>-84.594146880176694</c:v>
                </c:pt>
                <c:pt idx="811">
                  <c:v>-84.657836644591612</c:v>
                </c:pt>
                <c:pt idx="812">
                  <c:v>-84.721456150027578</c:v>
                </c:pt>
                <c:pt idx="813">
                  <c:v>-84.785005512679163</c:v>
                </c:pt>
                <c:pt idx="814">
                  <c:v>-84.848484848484844</c:v>
                </c:pt>
                <c:pt idx="815">
                  <c:v>-84.911894273127743</c:v>
                </c:pt>
                <c:pt idx="816">
                  <c:v>-84.975233902036322</c:v>
                </c:pt>
                <c:pt idx="817">
                  <c:v>-85.038503850385041</c:v>
                </c:pt>
                <c:pt idx="818">
                  <c:v>-85.101704233095106</c:v>
                </c:pt>
                <c:pt idx="819">
                  <c:v>-85.164835164835154</c:v>
                </c:pt>
                <c:pt idx="820">
                  <c:v>-85.227896760021963</c:v>
                </c:pt>
                <c:pt idx="821">
                  <c:v>-85.290889132821079</c:v>
                </c:pt>
                <c:pt idx="822">
                  <c:v>-85.35381239714755</c:v>
                </c:pt>
                <c:pt idx="823">
                  <c:v>-85.416666666666657</c:v>
                </c:pt>
                <c:pt idx="824">
                  <c:v>-85.479452054794521</c:v>
                </c:pt>
                <c:pt idx="825">
                  <c:v>-85.5421686746988</c:v>
                </c:pt>
                <c:pt idx="826">
                  <c:v>-85.604816639299401</c:v>
                </c:pt>
                <c:pt idx="827">
                  <c:v>-85.66739606126913</c:v>
                </c:pt>
                <c:pt idx="828">
                  <c:v>-85.729907053034438</c:v>
                </c:pt>
                <c:pt idx="829">
                  <c:v>-85.792349726775967</c:v>
                </c:pt>
                <c:pt idx="830">
                  <c:v>-85.854724194429267</c:v>
                </c:pt>
                <c:pt idx="831">
                  <c:v>-85.917030567685586</c:v>
                </c:pt>
                <c:pt idx="832">
                  <c:v>-85.97926895799236</c:v>
                </c:pt>
                <c:pt idx="833">
                  <c:v>-86.04143947655399</c:v>
                </c:pt>
                <c:pt idx="834">
                  <c:v>-86.103542234332423</c:v>
                </c:pt>
                <c:pt idx="835">
                  <c:v>-86.165577342047925</c:v>
                </c:pt>
                <c:pt idx="836">
                  <c:v>-86.227544910179645</c:v>
                </c:pt>
                <c:pt idx="837">
                  <c:v>-86.289445048966272</c:v>
                </c:pt>
                <c:pt idx="838">
                  <c:v>-86.35127786840674</c:v>
                </c:pt>
                <c:pt idx="839">
                  <c:v>-86.41304347826086</c:v>
                </c:pt>
                <c:pt idx="840">
                  <c:v>-86.474741988049971</c:v>
                </c:pt>
                <c:pt idx="841">
                  <c:v>-86.536373507057547</c:v>
                </c:pt>
                <c:pt idx="842">
                  <c:v>-86.597938144329902</c:v>
                </c:pt>
                <c:pt idx="843">
                  <c:v>-86.659436008676778</c:v>
                </c:pt>
                <c:pt idx="844">
                  <c:v>-86.72086720867209</c:v>
                </c:pt>
                <c:pt idx="845">
                  <c:v>-86.782231852654391</c:v>
                </c:pt>
                <c:pt idx="846">
                  <c:v>-86.843530048727672</c:v>
                </c:pt>
                <c:pt idx="847">
                  <c:v>-86.904761904761898</c:v>
                </c:pt>
                <c:pt idx="848">
                  <c:v>-86.965927528393721</c:v>
                </c:pt>
                <c:pt idx="849">
                  <c:v>-87.027027027027032</c:v>
                </c:pt>
                <c:pt idx="850">
                  <c:v>-87.088060507833603</c:v>
                </c:pt>
                <c:pt idx="851">
                  <c:v>-87.149028077753769</c:v>
                </c:pt>
                <c:pt idx="852">
                  <c:v>-87.209929843497036</c:v>
                </c:pt>
                <c:pt idx="853">
                  <c:v>-87.270765911542611</c:v>
                </c:pt>
                <c:pt idx="854">
                  <c:v>-87.331536388140165</c:v>
                </c:pt>
                <c:pt idx="855">
                  <c:v>-87.392241379310335</c:v>
                </c:pt>
                <c:pt idx="856">
                  <c:v>-87.452880990845443</c:v>
                </c:pt>
                <c:pt idx="857">
                  <c:v>-87.513455328310016</c:v>
                </c:pt>
                <c:pt idx="858">
                  <c:v>-87.573964497041416</c:v>
                </c:pt>
                <c:pt idx="859">
                  <c:v>-87.634408602150529</c:v>
                </c:pt>
                <c:pt idx="860">
                  <c:v>-87.694787748522302</c:v>
                </c:pt>
                <c:pt idx="861">
                  <c:v>-87.75510204081634</c:v>
                </c:pt>
                <c:pt idx="862">
                  <c:v>-87.815351583467532</c:v>
                </c:pt>
                <c:pt idx="863">
                  <c:v>-87.875536480686691</c:v>
                </c:pt>
                <c:pt idx="864">
                  <c:v>-87.935656836461121</c:v>
                </c:pt>
                <c:pt idx="865">
                  <c:v>-87.9957127545552</c:v>
                </c:pt>
                <c:pt idx="866">
                  <c:v>-88.055704338510978</c:v>
                </c:pt>
                <c:pt idx="867">
                  <c:v>-88.115631691648815</c:v>
                </c:pt>
                <c:pt idx="868">
                  <c:v>-88.175494917067951</c:v>
                </c:pt>
                <c:pt idx="869">
                  <c:v>-88.235294117647072</c:v>
                </c:pt>
                <c:pt idx="870">
                  <c:v>-88.295029396044896</c:v>
                </c:pt>
                <c:pt idx="871">
                  <c:v>-88.354700854700852</c:v>
                </c:pt>
                <c:pt idx="872">
                  <c:v>-88.414308595835564</c:v>
                </c:pt>
                <c:pt idx="873">
                  <c:v>-88.473852721451451</c:v>
                </c:pt>
                <c:pt idx="874">
                  <c:v>-88.533333333333331</c:v>
                </c:pt>
                <c:pt idx="875">
                  <c:v>-88.592750533049028</c:v>
                </c:pt>
                <c:pt idx="876">
                  <c:v>-88.652104421949915</c:v>
                </c:pt>
                <c:pt idx="877">
                  <c:v>-88.711395101171462</c:v>
                </c:pt>
                <c:pt idx="878">
                  <c:v>-88.770622671633845</c:v>
                </c:pt>
                <c:pt idx="879">
                  <c:v>-88.829787234042541</c:v>
                </c:pt>
                <c:pt idx="880">
                  <c:v>-88.888888888888886</c:v>
                </c:pt>
                <c:pt idx="881">
                  <c:v>-88.947927736450595</c:v>
                </c:pt>
                <c:pt idx="882">
                  <c:v>-89.00690387679235</c:v>
                </c:pt>
                <c:pt idx="883">
                  <c:v>-89.065817409766453</c:v>
                </c:pt>
                <c:pt idx="884">
                  <c:v>-89.124668435013263</c:v>
                </c:pt>
                <c:pt idx="885">
                  <c:v>-89.183457051961838</c:v>
                </c:pt>
                <c:pt idx="886">
                  <c:v>-89.24218335983042</c:v>
                </c:pt>
                <c:pt idx="887">
                  <c:v>-89.300847457627114</c:v>
                </c:pt>
                <c:pt idx="888">
                  <c:v>-89.359449444150343</c:v>
                </c:pt>
                <c:pt idx="889">
                  <c:v>-89.417989417989432</c:v>
                </c:pt>
                <c:pt idx="890">
                  <c:v>-89.476467477525119</c:v>
                </c:pt>
                <c:pt idx="891">
                  <c:v>-89.534883720930225</c:v>
                </c:pt>
                <c:pt idx="892">
                  <c:v>-89.593238246170102</c:v>
                </c:pt>
                <c:pt idx="893">
                  <c:v>-89.651531151003169</c:v>
                </c:pt>
                <c:pt idx="894">
                  <c:v>-89.709762532981529</c:v>
                </c:pt>
                <c:pt idx="895">
                  <c:v>-89.767932489451468</c:v>
                </c:pt>
                <c:pt idx="896">
                  <c:v>-89.826041117554027</c:v>
                </c:pt>
                <c:pt idx="897">
                  <c:v>-89.88408851422551</c:v>
                </c:pt>
                <c:pt idx="898">
                  <c:v>-89.942074776197998</c:v>
                </c:pt>
                <c:pt idx="899">
                  <c:v>-90</c:v>
                </c:pt>
                <c:pt idx="900">
                  <c:v>-90.057864281956867</c:v>
                </c:pt>
                <c:pt idx="901">
                  <c:v>-90.115667718191389</c:v>
                </c:pt>
                <c:pt idx="902">
                  <c:v>-90.173410404624278</c:v>
                </c:pt>
                <c:pt idx="903">
                  <c:v>-90.231092436974791</c:v>
                </c:pt>
                <c:pt idx="904">
                  <c:v>-90.28871391076116</c:v>
                </c:pt>
                <c:pt idx="905">
                  <c:v>-90.346274921301159</c:v>
                </c:pt>
                <c:pt idx="906">
                  <c:v>-90.403775563712642</c:v>
                </c:pt>
                <c:pt idx="907">
                  <c:v>-90.461215932914044</c:v>
                </c:pt>
                <c:pt idx="908">
                  <c:v>-90.518596123624931</c:v>
                </c:pt>
                <c:pt idx="909">
                  <c:v>-90.575916230366502</c:v>
                </c:pt>
                <c:pt idx="910">
                  <c:v>-90.633176347462069</c:v>
                </c:pt>
                <c:pt idx="911">
                  <c:v>-90.690376569037653</c:v>
                </c:pt>
                <c:pt idx="912">
                  <c:v>-90.747516989022486</c:v>
                </c:pt>
                <c:pt idx="913">
                  <c:v>-90.804597701149433</c:v>
                </c:pt>
                <c:pt idx="914">
                  <c:v>-90.861618798955618</c:v>
                </c:pt>
                <c:pt idx="915">
                  <c:v>-90.918580375782881</c:v>
                </c:pt>
                <c:pt idx="916">
                  <c:v>-90.9754825247783</c:v>
                </c:pt>
                <c:pt idx="917">
                  <c:v>-91.032325338894694</c:v>
                </c:pt>
                <c:pt idx="918">
                  <c:v>-91.089108910891085</c:v>
                </c:pt>
                <c:pt idx="919">
                  <c:v>-91.145833333333329</c:v>
                </c:pt>
                <c:pt idx="920">
                  <c:v>-91.202498698594482</c:v>
                </c:pt>
                <c:pt idx="921">
                  <c:v>-91.259105098855372</c:v>
                </c:pt>
                <c:pt idx="922">
                  <c:v>-91.315652626105049</c:v>
                </c:pt>
                <c:pt idx="923">
                  <c:v>-91.372141372141371</c:v>
                </c:pt>
                <c:pt idx="924">
                  <c:v>-91.428571428571431</c:v>
                </c:pt>
                <c:pt idx="925">
                  <c:v>-91.48494288681205</c:v>
                </c:pt>
                <c:pt idx="926">
                  <c:v>-91.541255838090294</c:v>
                </c:pt>
                <c:pt idx="927">
                  <c:v>-91.597510373443981</c:v>
                </c:pt>
                <c:pt idx="928">
                  <c:v>-91.653706583722141</c:v>
                </c:pt>
                <c:pt idx="929">
                  <c:v>-91.709844559585505</c:v>
                </c:pt>
                <c:pt idx="930">
                  <c:v>-91.765924391506999</c:v>
                </c:pt>
                <c:pt idx="931">
                  <c:v>-91.821946169772247</c:v>
                </c:pt>
                <c:pt idx="932">
                  <c:v>-91.877909984480084</c:v>
                </c:pt>
                <c:pt idx="933">
                  <c:v>-91.93381592554293</c:v>
                </c:pt>
                <c:pt idx="934">
                  <c:v>-91.989664082687341</c:v>
                </c:pt>
                <c:pt idx="935">
                  <c:v>-92.045454545454547</c:v>
                </c:pt>
                <c:pt idx="936">
                  <c:v>-92.101187403200825</c:v>
                </c:pt>
                <c:pt idx="937">
                  <c:v>-92.156862745098039</c:v>
                </c:pt>
                <c:pt idx="938">
                  <c:v>-92.212480660134091</c:v>
                </c:pt>
                <c:pt idx="939">
                  <c:v>-92.268041237113394</c:v>
                </c:pt>
                <c:pt idx="940">
                  <c:v>-92.323544564657382</c:v>
                </c:pt>
                <c:pt idx="941">
                  <c:v>-92.378990731204937</c:v>
                </c:pt>
                <c:pt idx="942">
                  <c:v>-92.434379825012869</c:v>
                </c:pt>
                <c:pt idx="943">
                  <c:v>-92.489711934156375</c:v>
                </c:pt>
                <c:pt idx="944">
                  <c:v>-92.54498714652955</c:v>
                </c:pt>
                <c:pt idx="945">
                  <c:v>-92.600205549845839</c:v>
                </c:pt>
                <c:pt idx="946">
                  <c:v>-92.655367231638422</c:v>
                </c:pt>
                <c:pt idx="947">
                  <c:v>-92.710472279260784</c:v>
                </c:pt>
                <c:pt idx="948">
                  <c:v>-92.765520779887112</c:v>
                </c:pt>
                <c:pt idx="949">
                  <c:v>-92.820512820512818</c:v>
                </c:pt>
                <c:pt idx="950">
                  <c:v>-92.875448487954898</c:v>
                </c:pt>
                <c:pt idx="951">
                  <c:v>-92.930327868852459</c:v>
                </c:pt>
                <c:pt idx="952">
                  <c:v>-92.985151049667166</c:v>
                </c:pt>
                <c:pt idx="953">
                  <c:v>-93.039918116683722</c:v>
                </c:pt>
                <c:pt idx="954">
                  <c:v>-93.094629156010228</c:v>
                </c:pt>
                <c:pt idx="955">
                  <c:v>-93.149284253578728</c:v>
                </c:pt>
                <c:pt idx="956">
                  <c:v>-93.203883495145618</c:v>
                </c:pt>
                <c:pt idx="957">
                  <c:v>-93.258426966292134</c:v>
                </c:pt>
                <c:pt idx="958">
                  <c:v>-93.312914752424717</c:v>
                </c:pt>
                <c:pt idx="959">
                  <c:v>-93.367346938775512</c:v>
                </c:pt>
                <c:pt idx="960">
                  <c:v>-93.42172361040285</c:v>
                </c:pt>
                <c:pt idx="961">
                  <c:v>-93.476044852191635</c:v>
                </c:pt>
                <c:pt idx="962">
                  <c:v>-93.530310748853793</c:v>
                </c:pt>
                <c:pt idx="963">
                  <c:v>-93.584521384928721</c:v>
                </c:pt>
                <c:pt idx="964">
                  <c:v>-93.638676844783703</c:v>
                </c:pt>
                <c:pt idx="965">
                  <c:v>-93.692777212614445</c:v>
                </c:pt>
                <c:pt idx="966">
                  <c:v>-93.746822572445353</c:v>
                </c:pt>
                <c:pt idx="967">
                  <c:v>-93.800813008130078</c:v>
                </c:pt>
                <c:pt idx="968">
                  <c:v>-93.85474860335195</c:v>
                </c:pt>
                <c:pt idx="969">
                  <c:v>-93.90862944162437</c:v>
                </c:pt>
                <c:pt idx="970">
                  <c:v>-93.962455606291229</c:v>
                </c:pt>
                <c:pt idx="971">
                  <c:v>-94.01622718052738</c:v>
                </c:pt>
                <c:pt idx="972">
                  <c:v>-94.069944247339066</c:v>
                </c:pt>
                <c:pt idx="973">
                  <c:v>-94.123606889564329</c:v>
                </c:pt>
                <c:pt idx="974">
                  <c:v>-94.177215189873422</c:v>
                </c:pt>
                <c:pt idx="975">
                  <c:v>-94.230769230769226</c:v>
                </c:pt>
                <c:pt idx="976">
                  <c:v>-94.284269094587756</c:v>
                </c:pt>
                <c:pt idx="977">
                  <c:v>-94.337714863498476</c:v>
                </c:pt>
                <c:pt idx="978">
                  <c:v>-94.391106619504811</c:v>
                </c:pt>
                <c:pt idx="979">
                  <c:v>-94.444444444444443</c:v>
                </c:pt>
                <c:pt idx="980">
                  <c:v>-94.497728419989897</c:v>
                </c:pt>
                <c:pt idx="981">
                  <c:v>-94.550958627648839</c:v>
                </c:pt>
                <c:pt idx="982">
                  <c:v>-94.604135148764499</c:v>
                </c:pt>
                <c:pt idx="983">
                  <c:v>-94.657258064516128</c:v>
                </c:pt>
                <c:pt idx="984">
                  <c:v>-94.710327455919384</c:v>
                </c:pt>
                <c:pt idx="985">
                  <c:v>-94.763343403826781</c:v>
                </c:pt>
                <c:pt idx="986">
                  <c:v>-94.816305988928036</c:v>
                </c:pt>
                <c:pt idx="987">
                  <c:v>-94.869215291750507</c:v>
                </c:pt>
                <c:pt idx="988">
                  <c:v>-94.922071392659618</c:v>
                </c:pt>
                <c:pt idx="989">
                  <c:v>-94.9748743718593</c:v>
                </c:pt>
                <c:pt idx="990">
                  <c:v>-95.027624309392266</c:v>
                </c:pt>
                <c:pt idx="991">
                  <c:v>-95.080321285140556</c:v>
                </c:pt>
                <c:pt idx="992">
                  <c:v>-95.132965378825887</c:v>
                </c:pt>
                <c:pt idx="993">
                  <c:v>-95.18555667001003</c:v>
                </c:pt>
                <c:pt idx="994">
                  <c:v>-95.238095238095241</c:v>
                </c:pt>
                <c:pt idx="995">
                  <c:v>-95.290581162324642</c:v>
                </c:pt>
                <c:pt idx="996">
                  <c:v>-95.343014521782663</c:v>
                </c:pt>
                <c:pt idx="997">
                  <c:v>-95.395395395395397</c:v>
                </c:pt>
                <c:pt idx="998">
                  <c:v>-95.447723861930967</c:v>
                </c:pt>
                <c:pt idx="999">
                  <c:v>-95.5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5D-0F48-B746-D1E2882B0FA8}"/>
            </c:ext>
          </c:extLst>
        </c:ser>
        <c:ser>
          <c:idx val="2"/>
          <c:order val="1"/>
          <c:tx>
            <c:strRef>
              <c:f>NPVs!$D$18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NPVs!$B$19:$B$1018</c:f>
              <c:numCache>
                <c:formatCode>0.000%</c:formatCode>
                <c:ptCount val="1000"/>
                <c:pt idx="0" formatCode="0.00%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  <c:pt idx="999">
                  <c:v>1</c:v>
                </c:pt>
              </c:numCache>
            </c:numRef>
          </c:cat>
          <c:val>
            <c:numRef>
              <c:f>NPVs!$D$19:$D$1018</c:f>
              <c:numCache>
                <c:formatCode>General</c:formatCode>
                <c:ptCount val="1000"/>
                <c:pt idx="0">
                  <c:v>218.74265524768859</c:v>
                </c:pt>
                <c:pt idx="1">
                  <c:v>217.49060204282927</c:v>
                </c:pt>
                <c:pt idx="2">
                  <c:v>216.24381210088856</c:v>
                </c:pt>
                <c:pt idx="3">
                  <c:v>215.00225731936897</c:v>
                </c:pt>
                <c:pt idx="4">
                  <c:v>213.76590977644622</c:v>
                </c:pt>
                <c:pt idx="5">
                  <c:v>212.53474172961381</c:v>
                </c:pt>
                <c:pt idx="6">
                  <c:v>211.30872561434413</c:v>
                </c:pt>
                <c:pt idx="7">
                  <c:v>210.08783404275545</c:v>
                </c:pt>
                <c:pt idx="8">
                  <c:v>208.87203980229603</c:v>
                </c:pt>
                <c:pt idx="9">
                  <c:v>207.66131585443344</c:v>
                </c:pt>
                <c:pt idx="10">
                  <c:v>206.45563533336073</c:v>
                </c:pt>
                <c:pt idx="11">
                  <c:v>205.25497154470898</c:v>
                </c:pt>
                <c:pt idx="12">
                  <c:v>204.0592979642739</c:v>
                </c:pt>
                <c:pt idx="13">
                  <c:v>202.86858823675126</c:v>
                </c:pt>
                <c:pt idx="14">
                  <c:v>201.6828161744846</c:v>
                </c:pt>
                <c:pt idx="15">
                  <c:v>200.50195575622098</c:v>
                </c:pt>
                <c:pt idx="16">
                  <c:v>199.32598112588155</c:v>
                </c:pt>
                <c:pt idx="17">
                  <c:v>198.15486659133703</c:v>
                </c:pt>
                <c:pt idx="18">
                  <c:v>196.9885866231989</c:v>
                </c:pt>
                <c:pt idx="19">
                  <c:v>195.82711585361616</c:v>
                </c:pt>
                <c:pt idx="20">
                  <c:v>194.67042907508588</c:v>
                </c:pt>
                <c:pt idx="21">
                  <c:v>193.51850123927053</c:v>
                </c:pt>
                <c:pt idx="22">
                  <c:v>192.37130745582874</c:v>
                </c:pt>
                <c:pt idx="23">
                  <c:v>191.22882299125195</c:v>
                </c:pt>
                <c:pt idx="24">
                  <c:v>190.09102326771449</c:v>
                </c:pt>
                <c:pt idx="25">
                  <c:v>188.95788386193033</c:v>
                </c:pt>
                <c:pt idx="26">
                  <c:v>187.82938050402151</c:v>
                </c:pt>
                <c:pt idx="27">
                  <c:v>186.70548907639454</c:v>
                </c:pt>
                <c:pt idx="28">
                  <c:v>185.58618561262739</c:v>
                </c:pt>
                <c:pt idx="29">
                  <c:v>184.47144629636441</c:v>
                </c:pt>
                <c:pt idx="30">
                  <c:v>183.36124746022196</c:v>
                </c:pt>
                <c:pt idx="31">
                  <c:v>182.25556558470157</c:v>
                </c:pt>
                <c:pt idx="32">
                  <c:v>181.1543772971138</c:v>
                </c:pt>
                <c:pt idx="33">
                  <c:v>180.05765937050904</c:v>
                </c:pt>
                <c:pt idx="34">
                  <c:v>178.96538872261971</c:v>
                </c:pt>
                <c:pt idx="35">
                  <c:v>177.87754241480815</c:v>
                </c:pt>
                <c:pt idx="36">
                  <c:v>176.79409765102653</c:v>
                </c:pt>
                <c:pt idx="37">
                  <c:v>175.71503177678193</c:v>
                </c:pt>
                <c:pt idx="38">
                  <c:v>174.64032227811367</c:v>
                </c:pt>
                <c:pt idx="39">
                  <c:v>173.56994678057487</c:v>
                </c:pt>
                <c:pt idx="40">
                  <c:v>172.50388304822707</c:v>
                </c:pt>
                <c:pt idx="41">
                  <c:v>171.44210898263844</c:v>
                </c:pt>
                <c:pt idx="42">
                  <c:v>170.38460262189449</c:v>
                </c:pt>
                <c:pt idx="43">
                  <c:v>169.33134213961293</c:v>
                </c:pt>
                <c:pt idx="44">
                  <c:v>168.28230584397062</c:v>
                </c:pt>
                <c:pt idx="45">
                  <c:v>167.23747217673457</c:v>
                </c:pt>
                <c:pt idx="46">
                  <c:v>166.1968197123046</c:v>
                </c:pt>
                <c:pt idx="47">
                  <c:v>165.16032715675999</c:v>
                </c:pt>
                <c:pt idx="48">
                  <c:v>164.12797334691828</c:v>
                </c:pt>
                <c:pt idx="49">
                  <c:v>163.09973724939709</c:v>
                </c:pt>
                <c:pt idx="50">
                  <c:v>162.07559795968766</c:v>
                </c:pt>
                <c:pt idx="51">
                  <c:v>161.05553470123311</c:v>
                </c:pt>
                <c:pt idx="52">
                  <c:v>160.03952682451632</c:v>
                </c:pt>
                <c:pt idx="53">
                  <c:v>159.02755380615281</c:v>
                </c:pt>
                <c:pt idx="54">
                  <c:v>158.019595247994</c:v>
                </c:pt>
                <c:pt idx="55">
                  <c:v>157.01563087623452</c:v>
                </c:pt>
                <c:pt idx="56">
                  <c:v>156.01564054053006</c:v>
                </c:pt>
                <c:pt idx="57">
                  <c:v>155.0196042131189</c:v>
                </c:pt>
                <c:pt idx="58">
                  <c:v>154.02750198795388</c:v>
                </c:pt>
                <c:pt idx="59">
                  <c:v>153.03931407983868</c:v>
                </c:pt>
                <c:pt idx="60">
                  <c:v>152.05502082357327</c:v>
                </c:pt>
                <c:pt idx="61">
                  <c:v>151.07460267310404</c:v>
                </c:pt>
                <c:pt idx="62">
                  <c:v>150.09804020068319</c:v>
                </c:pt>
                <c:pt idx="63">
                  <c:v>149.1253140960323</c:v>
                </c:pt>
                <c:pt idx="64">
                  <c:v>148.15640516551588</c:v>
                </c:pt>
                <c:pt idx="65">
                  <c:v>147.19129433131715</c:v>
                </c:pt>
                <c:pt idx="66">
                  <c:v>146.22996263062564</c:v>
                </c:pt>
                <c:pt idx="67">
                  <c:v>145.27239121482623</c:v>
                </c:pt>
                <c:pt idx="68">
                  <c:v>144.31856134869912</c:v>
                </c:pt>
                <c:pt idx="69">
                  <c:v>143.36845440962242</c:v>
                </c:pt>
                <c:pt idx="70">
                  <c:v>142.42205188678429</c:v>
                </c:pt>
                <c:pt idx="71">
                  <c:v>141.47933538039885</c:v>
                </c:pt>
                <c:pt idx="72">
                  <c:v>140.54028660093059</c:v>
                </c:pt>
                <c:pt idx="73">
                  <c:v>139.60488736832215</c:v>
                </c:pt>
                <c:pt idx="74">
                  <c:v>138.67311961123215</c:v>
                </c:pt>
                <c:pt idx="75">
                  <c:v>137.74496536627464</c:v>
                </c:pt>
                <c:pt idx="76">
                  <c:v>136.82040677726866</c:v>
                </c:pt>
                <c:pt idx="77">
                  <c:v>135.89942609449042</c:v>
                </c:pt>
                <c:pt idx="78">
                  <c:v>134.98200567393428</c:v>
                </c:pt>
                <c:pt idx="79">
                  <c:v>134.06812797657685</c:v>
                </c:pt>
                <c:pt idx="80">
                  <c:v>133.15777556764976</c:v>
                </c:pt>
                <c:pt idx="81">
                  <c:v>132.25093111591536</c:v>
                </c:pt>
                <c:pt idx="82">
                  <c:v>131.34757739295063</c:v>
                </c:pt>
                <c:pt idx="83">
                  <c:v>130.44769727243454</c:v>
                </c:pt>
                <c:pt idx="84">
                  <c:v>129.55127372944332</c:v>
                </c:pt>
                <c:pt idx="85">
                  <c:v>128.65828983974896</c:v>
                </c:pt>
                <c:pt idx="86">
                  <c:v>127.76872877912528</c:v>
                </c:pt>
                <c:pt idx="87">
                  <c:v>126.88257382265758</c:v>
                </c:pt>
                <c:pt idx="88">
                  <c:v>125.99980834405982</c:v>
                </c:pt>
                <c:pt idx="89">
                  <c:v>125.12041581499489</c:v>
                </c:pt>
                <c:pt idx="90">
                  <c:v>124.24437980440221</c:v>
                </c:pt>
                <c:pt idx="91">
                  <c:v>123.37168397782895</c:v>
                </c:pt>
                <c:pt idx="92">
                  <c:v>122.50231209676832</c:v>
                </c:pt>
                <c:pt idx="93">
                  <c:v>121.63624801800046</c:v>
                </c:pt>
                <c:pt idx="94">
                  <c:v>120.77347569294177</c:v>
                </c:pt>
                <c:pt idx="95">
                  <c:v>119.91397916699592</c:v>
                </c:pt>
                <c:pt idx="96">
                  <c:v>119.05774257891296</c:v>
                </c:pt>
                <c:pt idx="97">
                  <c:v>118.2047501601506</c:v>
                </c:pt>
                <c:pt idx="98">
                  <c:v>117.35498623424334</c:v>
                </c:pt>
                <c:pt idx="99">
                  <c:v>116.50843521617369</c:v>
                </c:pt>
                <c:pt idx="100">
                  <c:v>115.66508161175096</c:v>
                </c:pt>
                <c:pt idx="101">
                  <c:v>114.82491001699202</c:v>
                </c:pt>
                <c:pt idx="102">
                  <c:v>113.98790511751012</c:v>
                </c:pt>
                <c:pt idx="103">
                  <c:v>113.15405168790508</c:v>
                </c:pt>
                <c:pt idx="104">
                  <c:v>112.32333459116103</c:v>
                </c:pt>
                <c:pt idx="105">
                  <c:v>111.4957387780468</c:v>
                </c:pt>
                <c:pt idx="106">
                  <c:v>110.67124928652251</c:v>
                </c:pt>
                <c:pt idx="107">
                  <c:v>109.84985124114901</c:v>
                </c:pt>
                <c:pt idx="108">
                  <c:v>109.03152985250415</c:v>
                </c:pt>
                <c:pt idx="109">
                  <c:v>108.21627041660071</c:v>
                </c:pt>
                <c:pt idx="110">
                  <c:v>107.40405831431181</c:v>
                </c:pt>
                <c:pt idx="111">
                  <c:v>106.59487901079802</c:v>
                </c:pt>
                <c:pt idx="112">
                  <c:v>105.78871805494144</c:v>
                </c:pt>
                <c:pt idx="113">
                  <c:v>104.98556107878126</c:v>
                </c:pt>
                <c:pt idx="114">
                  <c:v>104.18539379695665</c:v>
                </c:pt>
                <c:pt idx="115">
                  <c:v>103.38820200615137</c:v>
                </c:pt>
                <c:pt idx="116">
                  <c:v>102.59397158454475</c:v>
                </c:pt>
                <c:pt idx="117">
                  <c:v>101.80268849126472</c:v>
                </c:pt>
                <c:pt idx="118">
                  <c:v>101.01433876584677</c:v>
                </c:pt>
                <c:pt idx="119">
                  <c:v>100.22890852769673</c:v>
                </c:pt>
                <c:pt idx="120">
                  <c:v>99.446383975556813</c:v>
                </c:pt>
                <c:pt idx="121">
                  <c:v>98.666751386976117</c:v>
                </c:pt>
                <c:pt idx="122">
                  <c:v>97.889997117785555</c:v>
                </c:pt>
                <c:pt idx="123">
                  <c:v>97.116107601576786</c:v>
                </c:pt>
                <c:pt idx="124">
                  <c:v>96.34506934918457</c:v>
                </c:pt>
                <c:pt idx="125">
                  <c:v>95.576868948172873</c:v>
                </c:pt>
                <c:pt idx="126">
                  <c:v>94.811493062325681</c:v>
                </c:pt>
                <c:pt idx="127">
                  <c:v>94.048928431141732</c:v>
                </c:pt>
                <c:pt idx="128">
                  <c:v>93.289161869332005</c:v>
                </c:pt>
                <c:pt idx="129">
                  <c:v>92.532180266321618</c:v>
                </c:pt>
                <c:pt idx="130">
                  <c:v>91.777970585755668</c:v>
                </c:pt>
                <c:pt idx="131">
                  <c:v>91.026519865009021</c:v>
                </c:pt>
                <c:pt idx="132">
                  <c:v>90.277815214699103</c:v>
                </c:pt>
                <c:pt idx="133">
                  <c:v>89.531843818202276</c:v>
                </c:pt>
                <c:pt idx="134">
                  <c:v>88.788592931174648</c:v>
                </c:pt>
                <c:pt idx="135">
                  <c:v>88.048049881076238</c:v>
                </c:pt>
                <c:pt idx="136">
                  <c:v>87.310202066698636</c:v>
                </c:pt>
                <c:pt idx="137">
                  <c:v>86.575036957695389</c:v>
                </c:pt>
                <c:pt idx="138">
                  <c:v>85.842542094117292</c:v>
                </c:pt>
                <c:pt idx="139">
                  <c:v>85.112705085950537</c:v>
                </c:pt>
                <c:pt idx="140">
                  <c:v>84.385513612658386</c:v>
                </c:pt>
                <c:pt idx="141">
                  <c:v>83.660955422725536</c:v>
                </c:pt>
                <c:pt idx="142">
                  <c:v>82.939018333207088</c:v>
                </c:pt>
                <c:pt idx="143">
                  <c:v>82.21969022928063</c:v>
                </c:pt>
                <c:pt idx="144">
                  <c:v>81.502959063800347</c:v>
                </c:pt>
                <c:pt idx="145">
                  <c:v>80.78881285685695</c:v>
                </c:pt>
                <c:pt idx="146">
                  <c:v>80.077239695337752</c:v>
                </c:pt>
                <c:pt idx="147">
                  <c:v>79.368227732493253</c:v>
                </c:pt>
                <c:pt idx="148">
                  <c:v>78.661765187504002</c:v>
                </c:pt>
                <c:pt idx="149">
                  <c:v>77.957840345053157</c:v>
                </c:pt>
                <c:pt idx="150">
                  <c:v>77.25644155490015</c:v>
                </c:pt>
                <c:pt idx="151">
                  <c:v>76.557557231459512</c:v>
                </c:pt>
                <c:pt idx="152">
                  <c:v>75.861175853380445</c:v>
                </c:pt>
                <c:pt idx="153">
                  <c:v>75.167285963132215</c:v>
                </c:pt>
                <c:pt idx="154">
                  <c:v>74.475876166590012</c:v>
                </c:pt>
                <c:pt idx="155">
                  <c:v>73.786935132626056</c:v>
                </c:pt>
                <c:pt idx="156">
                  <c:v>73.100451592701788</c:v>
                </c:pt>
                <c:pt idx="157">
                  <c:v>72.416414340465039</c:v>
                </c:pt>
                <c:pt idx="158">
                  <c:v>71.734812231348116</c:v>
                </c:pt>
                <c:pt idx="159">
                  <c:v>71.055634182170905</c:v>
                </c:pt>
                <c:pt idx="160">
                  <c:v>70.378869170744693</c:v>
                </c:pt>
                <c:pt idx="161">
                  <c:v>69.704506235481318</c:v>
                </c:pt>
                <c:pt idx="162">
                  <c:v>69.032534475002592</c:v>
                </c:pt>
                <c:pt idx="163">
                  <c:v>68.362943047755365</c:v>
                </c:pt>
                <c:pt idx="164">
                  <c:v>67.695721171626587</c:v>
                </c:pt>
                <c:pt idx="165">
                  <c:v>67.03085812356376</c:v>
                </c:pt>
                <c:pt idx="166">
                  <c:v>66.368343239195795</c:v>
                </c:pt>
                <c:pt idx="167">
                  <c:v>65.708165912459194</c:v>
                </c:pt>
                <c:pt idx="168">
                  <c:v>65.050315595224063</c:v>
                </c:pt>
                <c:pt idx="169">
                  <c:v>64.394781796925813</c:v>
                </c:pt>
                <c:pt idx="170">
                  <c:v>63.741554084196764</c:v>
                </c:pt>
                <c:pt idx="171">
                  <c:v>63.09062208050311</c:v>
                </c:pt>
                <c:pt idx="172">
                  <c:v>62.441975465781823</c:v>
                </c:pt>
                <c:pt idx="173">
                  <c:v>61.795603976082859</c:v>
                </c:pt>
                <c:pt idx="174">
                  <c:v>61.151497403211337</c:v>
                </c:pt>
                <c:pt idx="175">
                  <c:v>60.509645594375087</c:v>
                </c:pt>
                <c:pt idx="176">
                  <c:v>59.870038451831704</c:v>
                </c:pt>
                <c:pt idx="177">
                  <c:v>59.232665932541195</c:v>
                </c:pt>
                <c:pt idx="178">
                  <c:v>58.597518047818667</c:v>
                </c:pt>
                <c:pt idx="179">
                  <c:v>57.964584862991245</c:v>
                </c:pt>
                <c:pt idx="180">
                  <c:v>57.333856497056061</c:v>
                </c:pt>
                <c:pt idx="181">
                  <c:v>56.705323122342321</c:v>
                </c:pt>
                <c:pt idx="182">
                  <c:v>56.078974964173781</c:v>
                </c:pt>
                <c:pt idx="183">
                  <c:v>55.45480230053613</c:v>
                </c:pt>
                <c:pt idx="184">
                  <c:v>54.832795461743913</c:v>
                </c:pt>
                <c:pt idx="185">
                  <c:v>54.212944830112718</c:v>
                </c:pt>
                <c:pt idx="186">
                  <c:v>53.595240839631344</c:v>
                </c:pt>
                <c:pt idx="187">
                  <c:v>52.979673975638079</c:v>
                </c:pt>
                <c:pt idx="188">
                  <c:v>52.366234774497755</c:v>
                </c:pt>
                <c:pt idx="189">
                  <c:v>51.754913823282834</c:v>
                </c:pt>
                <c:pt idx="190">
                  <c:v>51.145701759454766</c:v>
                </c:pt>
                <c:pt idx="191">
                  <c:v>50.538589270549906</c:v>
                </c:pt>
                <c:pt idx="192">
                  <c:v>49.93356709386525</c:v>
                </c:pt>
                <c:pt idx="193">
                  <c:v>49.330626016148869</c:v>
                </c:pt>
                <c:pt idx="194">
                  <c:v>48.729756873290057</c:v>
                </c:pt>
                <c:pt idx="195">
                  <c:v>48.130950550014106</c:v>
                </c:pt>
                <c:pt idx="196">
                  <c:v>47.534197979577215</c:v>
                </c:pt>
                <c:pt idx="197">
                  <c:v>46.93949014346515</c:v>
                </c:pt>
                <c:pt idx="198">
                  <c:v>46.346818071092571</c:v>
                </c:pt>
                <c:pt idx="199">
                  <c:v>45.756172839506178</c:v>
                </c:pt>
                <c:pt idx="200">
                  <c:v>45.16754557308812</c:v>
                </c:pt>
                <c:pt idx="201">
                  <c:v>44.580927443263391</c:v>
                </c:pt>
                <c:pt idx="202">
                  <c:v>43.996309668207331</c:v>
                </c:pt>
                <c:pt idx="203">
                  <c:v>43.413683512557228</c:v>
                </c:pt>
                <c:pt idx="204">
                  <c:v>42.833040287123893</c:v>
                </c:pt>
                <c:pt idx="205">
                  <c:v>42.254371348607478</c:v>
                </c:pt>
                <c:pt idx="206">
                  <c:v>41.677668099312953</c:v>
                </c:pt>
                <c:pt idx="207">
                  <c:v>41.102921986869973</c:v>
                </c:pt>
                <c:pt idx="208">
                  <c:v>40.530124503952251</c:v>
                </c:pt>
                <c:pt idx="209">
                  <c:v>39.959267188001434</c:v>
                </c:pt>
                <c:pt idx="210">
                  <c:v>39.390341620950551</c:v>
                </c:pt>
                <c:pt idx="211">
                  <c:v>38.823339428951485</c:v>
                </c:pt>
                <c:pt idx="212">
                  <c:v>38.258252282102561</c:v>
                </c:pt>
                <c:pt idx="213">
                  <c:v>37.695071894179591</c:v>
                </c:pt>
                <c:pt idx="214">
                  <c:v>37.133790022367336</c:v>
                </c:pt>
                <c:pt idx="215">
                  <c:v>36.574398466994495</c:v>
                </c:pt>
                <c:pt idx="216">
                  <c:v>36.016889071268686</c:v>
                </c:pt>
                <c:pt idx="217">
                  <c:v>35.461253721015154</c:v>
                </c:pt>
                <c:pt idx="218">
                  <c:v>34.907484344415508</c:v>
                </c:pt>
                <c:pt idx="219">
                  <c:v>34.355572911750208</c:v>
                </c:pt>
                <c:pt idx="220">
                  <c:v>33.805511435140481</c:v>
                </c:pt>
                <c:pt idx="221">
                  <c:v>33.257291968294908</c:v>
                </c:pt>
                <c:pt idx="222">
                  <c:v>32.710906606254632</c:v>
                </c:pt>
                <c:pt idx="223">
                  <c:v>32.166347485143405</c:v>
                </c:pt>
                <c:pt idx="224">
                  <c:v>31.6236067819166</c:v>
                </c:pt>
                <c:pt idx="225">
                  <c:v>31.08267671411452</c:v>
                </c:pt>
                <c:pt idx="226">
                  <c:v>30.543549539614816</c:v>
                </c:pt>
                <c:pt idx="227">
                  <c:v>30.006217556389281</c:v>
                </c:pt>
                <c:pt idx="228">
                  <c:v>29.470673102259937</c:v>
                </c:pt>
                <c:pt idx="229">
                  <c:v>28.936908554658736</c:v>
                </c:pt>
                <c:pt idx="230">
                  <c:v>28.404916330387287</c:v>
                </c:pt>
                <c:pt idx="231">
                  <c:v>27.874688885379783</c:v>
                </c:pt>
                <c:pt idx="232">
                  <c:v>27.346218714466147</c:v>
                </c:pt>
                <c:pt idx="233">
                  <c:v>26.819498351138023</c:v>
                </c:pt>
                <c:pt idx="234">
                  <c:v>26.294520367315464</c:v>
                </c:pt>
                <c:pt idx="235">
                  <c:v>25.771277373115424</c:v>
                </c:pt>
                <c:pt idx="236">
                  <c:v>25.249762016622704</c:v>
                </c:pt>
                <c:pt idx="237">
                  <c:v>24.72996698366137</c:v>
                </c:pt>
                <c:pt idx="238">
                  <c:v>24.211884997567672</c:v>
                </c:pt>
                <c:pt idx="239">
                  <c:v>23.695508818965664</c:v>
                </c:pt>
                <c:pt idx="240">
                  <c:v>23.180831245543644</c:v>
                </c:pt>
                <c:pt idx="241">
                  <c:v>22.667845111831902</c:v>
                </c:pt>
                <c:pt idx="242">
                  <c:v>22.156543288982277</c:v>
                </c:pt>
                <c:pt idx="243">
                  <c:v>21.6469186845491</c:v>
                </c:pt>
                <c:pt idx="244">
                  <c:v>21.138964242272337</c:v>
                </c:pt>
                <c:pt idx="245">
                  <c:v>20.632672941860967</c:v>
                </c:pt>
                <c:pt idx="246">
                  <c:v>20.128037798778685</c:v>
                </c:pt>
                <c:pt idx="247">
                  <c:v>19.625051864030674</c:v>
                </c:pt>
                <c:pt idx="248">
                  <c:v>19.12370822395264</c:v>
                </c:pt>
                <c:pt idx="249">
                  <c:v>18.624000000000002</c:v>
                </c:pt>
                <c:pt idx="250">
                  <c:v>18.125920348539381</c:v>
                </c:pt>
                <c:pt idx="251">
                  <c:v>17.629462460641129</c:v>
                </c:pt>
                <c:pt idx="252">
                  <c:v>17.134619561873983</c:v>
                </c:pt>
                <c:pt idx="253">
                  <c:v>16.641384912100023</c:v>
                </c:pt>
                <c:pt idx="254">
                  <c:v>16.149751805271599</c:v>
                </c:pt>
                <c:pt idx="255">
                  <c:v>15.659713569229652</c:v>
                </c:pt>
                <c:pt idx="256">
                  <c:v>15.171263565503601</c:v>
                </c:pt>
                <c:pt idx="257">
                  <c:v>14.684395189112017</c:v>
                </c:pt>
                <c:pt idx="258">
                  <c:v>14.199101868364934</c:v>
                </c:pt>
                <c:pt idx="259">
                  <c:v>13.715377064667386</c:v>
                </c:pt>
                <c:pt idx="260">
                  <c:v>13.233214272324929</c:v>
                </c:pt>
                <c:pt idx="261">
                  <c:v>12.75260701834948</c:v>
                </c:pt>
                <c:pt idx="262">
                  <c:v>12.273548862266736</c:v>
                </c:pt>
                <c:pt idx="263">
                  <c:v>11.79603339592542</c:v>
                </c:pt>
                <c:pt idx="264">
                  <c:v>11.320054243307411</c:v>
                </c:pt>
                <c:pt idx="265">
                  <c:v>10.845605060339125</c:v>
                </c:pt>
                <c:pt idx="266">
                  <c:v>10.372679534704055</c:v>
                </c:pt>
                <c:pt idx="267">
                  <c:v>9.9012713856567558</c:v>
                </c:pt>
                <c:pt idx="268">
                  <c:v>9.4313743638384651</c:v>
                </c:pt>
                <c:pt idx="269">
                  <c:v>8.9629822510931731</c:v>
                </c:pt>
                <c:pt idx="270">
                  <c:v>8.4960888602850702</c:v>
                </c:pt>
                <c:pt idx="271">
                  <c:v>8.0306880351178478</c:v>
                </c:pt>
                <c:pt idx="272">
                  <c:v>7.5667736499547544</c:v>
                </c:pt>
                <c:pt idx="273">
                  <c:v>7.1043396096398439</c:v>
                </c:pt>
                <c:pt idx="274">
                  <c:v>6.6433798493200982</c:v>
                </c:pt>
                <c:pt idx="275">
                  <c:v>6.1838883342695112</c:v>
                </c:pt>
                <c:pt idx="276">
                  <c:v>5.7258590597138905</c:v>
                </c:pt>
                <c:pt idx="277">
                  <c:v>5.2692860506567953</c:v>
                </c:pt>
                <c:pt idx="278">
                  <c:v>4.8141633617064201</c:v>
                </c:pt>
                <c:pt idx="279">
                  <c:v>4.3604850769042827</c:v>
                </c:pt>
                <c:pt idx="280">
                  <c:v>3.9082453095545375</c:v>
                </c:pt>
                <c:pt idx="281">
                  <c:v>3.4574382020546253</c:v>
                </c:pt>
                <c:pt idx="282">
                  <c:v>3.0080579257265612</c:v>
                </c:pt>
                <c:pt idx="283">
                  <c:v>2.5600986806501353</c:v>
                </c:pt>
                <c:pt idx="284">
                  <c:v>2.1135546954969939</c:v>
                </c:pt>
                <c:pt idx="285">
                  <c:v>1.6684202273649404</c:v>
                </c:pt>
                <c:pt idx="286">
                  <c:v>1.2246895616148521</c:v>
                </c:pt>
                <c:pt idx="287">
                  <c:v>0.78235701170702043</c:v>
                </c:pt>
                <c:pt idx="288">
                  <c:v>0.34141691904042659</c:v>
                </c:pt>
                <c:pt idx="289">
                  <c:v>-9.8136347209276664E-2</c:v>
                </c:pt>
                <c:pt idx="290">
                  <c:v>-0.5363083902479957</c:v>
                </c:pt>
                <c:pt idx="291">
                  <c:v>-0.97310478582299709</c:v>
                </c:pt>
                <c:pt idx="292">
                  <c:v>-1.4085310823795183</c:v>
                </c:pt>
                <c:pt idx="293">
                  <c:v>-1.8425928012180037</c:v>
                </c:pt>
                <c:pt idx="294">
                  <c:v>-2.2752954366489249</c:v>
                </c:pt>
                <c:pt idx="295">
                  <c:v>-2.7066444561480125</c:v>
                </c:pt>
                <c:pt idx="296">
                  <c:v>-3.1366453005088744</c:v>
                </c:pt>
                <c:pt idx="297">
                  <c:v>-3.565303383996195</c:v>
                </c:pt>
                <c:pt idx="298">
                  <c:v>-3.9926240944966054</c:v>
                </c:pt>
                <c:pt idx="299">
                  <c:v>-4.4186127936697162</c:v>
                </c:pt>
                <c:pt idx="300">
                  <c:v>-4.8432748170969901</c:v>
                </c:pt>
                <c:pt idx="301">
                  <c:v>-5.2666154744309921</c:v>
                </c:pt>
                <c:pt idx="302">
                  <c:v>-5.6886400495420517</c:v>
                </c:pt>
                <c:pt idx="303">
                  <c:v>-6.1093538006657724</c:v>
                </c:pt>
                <c:pt idx="304">
                  <c:v>-6.5287619605478397</c:v>
                </c:pt>
                <c:pt idx="305">
                  <c:v>-6.9468697365895054</c:v>
                </c:pt>
                <c:pt idx="306">
                  <c:v>-7.3636823109905194</c:v>
                </c:pt>
                <c:pt idx="307">
                  <c:v>-7.7792048408927741</c:v>
                </c:pt>
                <c:pt idx="308">
                  <c:v>-8.1934424585213463</c:v>
                </c:pt>
                <c:pt idx="309">
                  <c:v>-8.6064002713264216</c:v>
                </c:pt>
                <c:pt idx="310">
                  <c:v>-9.0180833621223542</c:v>
                </c:pt>
                <c:pt idx="311">
                  <c:v>-9.4284967892277791</c:v>
                </c:pt>
                <c:pt idx="312">
                  <c:v>-9.8376455866030241</c:v>
                </c:pt>
                <c:pt idx="313">
                  <c:v>-10.24553476398826</c:v>
                </c:pt>
                <c:pt idx="314">
                  <c:v>-10.652169307039166</c:v>
                </c:pt>
                <c:pt idx="315">
                  <c:v>-11.057554177463473</c:v>
                </c:pt>
                <c:pt idx="316">
                  <c:v>-11.461694313154709</c:v>
                </c:pt>
                <c:pt idx="317">
                  <c:v>-11.864594628326898</c:v>
                </c:pt>
                <c:pt idx="318">
                  <c:v>-12.266260013646935</c:v>
                </c:pt>
                <c:pt idx="319">
                  <c:v>-12.666695336367283</c:v>
                </c:pt>
                <c:pt idx="320">
                  <c:v>-13.065905440456689</c:v>
                </c:pt>
                <c:pt idx="321">
                  <c:v>-13.463895146731353</c:v>
                </c:pt>
                <c:pt idx="322">
                  <c:v>-13.860669252983641</c:v>
                </c:pt>
                <c:pt idx="323">
                  <c:v>-14.256232534111938</c:v>
                </c:pt>
                <c:pt idx="324">
                  <c:v>-14.650589742247639</c:v>
                </c:pt>
                <c:pt idx="325">
                  <c:v>-15.043745606883029</c:v>
                </c:pt>
                <c:pt idx="326">
                  <c:v>-15.435704834997104</c:v>
                </c:pt>
                <c:pt idx="327">
                  <c:v>-15.826472111181552</c:v>
                </c:pt>
                <c:pt idx="328">
                  <c:v>-16.216052097765015</c:v>
                </c:pt>
                <c:pt idx="329">
                  <c:v>-16.604449434937557</c:v>
                </c:pt>
                <c:pt idx="330">
                  <c:v>-16.991668740873301</c:v>
                </c:pt>
                <c:pt idx="331">
                  <c:v>-17.377714611853257</c:v>
                </c:pt>
                <c:pt idx="332">
                  <c:v>-17.762591622386395</c:v>
                </c:pt>
                <c:pt idx="333">
                  <c:v>-18.146304325331073</c:v>
                </c:pt>
                <c:pt idx="334">
                  <c:v>-18.528857252014532</c:v>
                </c:pt>
                <c:pt idx="335">
                  <c:v>-18.910254912352592</c:v>
                </c:pt>
                <c:pt idx="336">
                  <c:v>-19.290501794967817</c:v>
                </c:pt>
                <c:pt idx="337">
                  <c:v>-19.669602367307746</c:v>
                </c:pt>
                <c:pt idx="338">
                  <c:v>-20.047561075761429</c:v>
                </c:pt>
                <c:pt idx="339">
                  <c:v>-20.424382345776245</c:v>
                </c:pt>
                <c:pt idx="340">
                  <c:v>-20.800070581972875</c:v>
                </c:pt>
                <c:pt idx="341">
                  <c:v>-21.174630168260812</c:v>
                </c:pt>
                <c:pt idx="342">
                  <c:v>-21.548065467951815</c:v>
                </c:pt>
                <c:pt idx="343">
                  <c:v>-21.920380823873835</c:v>
                </c:pt>
                <c:pt idx="344">
                  <c:v>-22.291580558483361</c:v>
                </c:pt>
                <c:pt idx="345">
                  <c:v>-22.661668973977527</c:v>
                </c:pt>
                <c:pt idx="346">
                  <c:v>-23.030650352405161</c:v>
                </c:pt>
                <c:pt idx="347">
                  <c:v>-23.398528955777799</c:v>
                </c:pt>
                <c:pt idx="348">
                  <c:v>-23.765309026179267</c:v>
                </c:pt>
                <c:pt idx="349">
                  <c:v>-24.130994785874663</c:v>
                </c:pt>
                <c:pt idx="350">
                  <c:v>-24.495590437419146</c:v>
                </c:pt>
                <c:pt idx="351">
                  <c:v>-24.859100163765902</c:v>
                </c:pt>
                <c:pt idx="352">
                  <c:v>-25.221528128372888</c:v>
                </c:pt>
                <c:pt idx="353">
                  <c:v>-25.582878475309499</c:v>
                </c:pt>
                <c:pt idx="354">
                  <c:v>-25.943155329362369</c:v>
                </c:pt>
                <c:pt idx="355">
                  <c:v>-26.302362796140564</c:v>
                </c:pt>
                <c:pt idx="356">
                  <c:v>-26.660504962180156</c:v>
                </c:pt>
                <c:pt idx="357">
                  <c:v>-27.017585895047745</c:v>
                </c:pt>
                <c:pt idx="358">
                  <c:v>-27.373609643443821</c:v>
                </c:pt>
                <c:pt idx="359">
                  <c:v>-27.728580237305543</c:v>
                </c:pt>
                <c:pt idx="360">
                  <c:v>-28.082501687908454</c:v>
                </c:pt>
                <c:pt idx="361">
                  <c:v>-28.435377987967691</c:v>
                </c:pt>
                <c:pt idx="362">
                  <c:v>-28.787213111738545</c:v>
                </c:pt>
                <c:pt idx="363">
                  <c:v>-29.138011015116987</c:v>
                </c:pt>
                <c:pt idx="364">
                  <c:v>-29.487775635738686</c:v>
                </c:pt>
                <c:pt idx="365">
                  <c:v>-29.836510893077737</c:v>
                </c:pt>
                <c:pt idx="366">
                  <c:v>-30.184220688544961</c:v>
                </c:pt>
                <c:pt idx="367">
                  <c:v>-30.530908905585676</c:v>
                </c:pt>
                <c:pt idx="368">
                  <c:v>-30.876579409776447</c:v>
                </c:pt>
                <c:pt idx="369">
                  <c:v>-31.22123604892144</c:v>
                </c:pt>
                <c:pt idx="370">
                  <c:v>-31.564882653148167</c:v>
                </c:pt>
                <c:pt idx="371">
                  <c:v>-31.907523035002981</c:v>
                </c:pt>
                <c:pt idx="372">
                  <c:v>-32.249160989545466</c:v>
                </c:pt>
                <c:pt idx="373">
                  <c:v>-32.589800294442284</c:v>
                </c:pt>
                <c:pt idx="374">
                  <c:v>-32.929444710060793</c:v>
                </c:pt>
                <c:pt idx="375">
                  <c:v>-33.268097979562107</c:v>
                </c:pt>
                <c:pt idx="376">
                  <c:v>-33.605763828993126</c:v>
                </c:pt>
                <c:pt idx="377">
                  <c:v>-33.942445967378276</c:v>
                </c:pt>
                <c:pt idx="378">
                  <c:v>-34.278148086810681</c:v>
                </c:pt>
                <c:pt idx="379">
                  <c:v>-34.612873862542969</c:v>
                </c:pt>
                <c:pt idx="380">
                  <c:v>-34.946626953077264</c:v>
                </c:pt>
                <c:pt idx="381">
                  <c:v>-35.279411000254349</c:v>
                </c:pt>
                <c:pt idx="382">
                  <c:v>-35.611229629342972</c:v>
                </c:pt>
                <c:pt idx="383">
                  <c:v>-35.942086449128311</c:v>
                </c:pt>
                <c:pt idx="384">
                  <c:v>-36.27198505199965</c:v>
                </c:pt>
                <c:pt idx="385">
                  <c:v>-36.600929014037746</c:v>
                </c:pt>
                <c:pt idx="386">
                  <c:v>-36.928921895101524</c:v>
                </c:pt>
                <c:pt idx="387">
                  <c:v>-37.255967238914728</c:v>
                </c:pt>
                <c:pt idx="388">
                  <c:v>-37.582068573151403</c:v>
                </c:pt>
                <c:pt idx="389">
                  <c:v>-37.90722940952103</c:v>
                </c:pt>
                <c:pt idx="390">
                  <c:v>-38.231453243853359</c:v>
                </c:pt>
                <c:pt idx="391">
                  <c:v>-38.554743556182729</c:v>
                </c:pt>
                <c:pt idx="392">
                  <c:v>-38.877103810831677</c:v>
                </c:pt>
                <c:pt idx="393">
                  <c:v>-39.198537456493924</c:v>
                </c:pt>
                <c:pt idx="394">
                  <c:v>-39.519047926317185</c:v>
                </c:pt>
                <c:pt idx="395">
                  <c:v>-39.838638637985547</c:v>
                </c:pt>
                <c:pt idx="396">
                  <c:v>-40.15731299380095</c:v>
                </c:pt>
                <c:pt idx="397">
                  <c:v>-40.475074380764141</c:v>
                </c:pt>
                <c:pt idx="398">
                  <c:v>-40.791926170655806</c:v>
                </c:pt>
                <c:pt idx="399">
                  <c:v>-41.107871720116577</c:v>
                </c:pt>
                <c:pt idx="400">
                  <c:v>-41.422914370726836</c:v>
                </c:pt>
                <c:pt idx="401">
                  <c:v>-41.73705744908564</c:v>
                </c:pt>
                <c:pt idx="402">
                  <c:v>-42.050304266889889</c:v>
                </c:pt>
                <c:pt idx="403">
                  <c:v>-42.362658121012437</c:v>
                </c:pt>
                <c:pt idx="404">
                  <c:v>-42.674122293580076</c:v>
                </c:pt>
                <c:pt idx="405">
                  <c:v>-42.984700052050442</c:v>
                </c:pt>
                <c:pt idx="406">
                  <c:v>-43.294394649289359</c:v>
                </c:pt>
                <c:pt idx="407">
                  <c:v>-43.603209323647235</c:v>
                </c:pt>
                <c:pt idx="408">
                  <c:v>-43.911147299034852</c:v>
                </c:pt>
                <c:pt idx="409">
                  <c:v>-44.218211784998751</c:v>
                </c:pt>
                <c:pt idx="410">
                  <c:v>-44.524405976796793</c:v>
                </c:pt>
                <c:pt idx="411">
                  <c:v>-44.829733055472182</c:v>
                </c:pt>
                <c:pt idx="412">
                  <c:v>-45.13419618792819</c:v>
                </c:pt>
                <c:pt idx="413">
                  <c:v>-45.437798527001299</c:v>
                </c:pt>
                <c:pt idx="414">
                  <c:v>-45.740543211535183</c:v>
                </c:pt>
                <c:pt idx="415">
                  <c:v>-46.042433366452713</c:v>
                </c:pt>
                <c:pt idx="416">
                  <c:v>-46.343472102829267</c:v>
                </c:pt>
                <c:pt idx="417">
                  <c:v>-46.643662517963961</c:v>
                </c:pt>
                <c:pt idx="418">
                  <c:v>-46.943007695451712</c:v>
                </c:pt>
                <c:pt idx="419">
                  <c:v>-47.241510705254008</c:v>
                </c:pt>
                <c:pt idx="420">
                  <c:v>-47.539174603769943</c:v>
                </c:pt>
                <c:pt idx="421">
                  <c:v>-47.836002433906138</c:v>
                </c:pt>
                <c:pt idx="422">
                  <c:v>-48.131997225147067</c:v>
                </c:pt>
                <c:pt idx="423">
                  <c:v>-48.427161993624019</c:v>
                </c:pt>
                <c:pt idx="424">
                  <c:v>-48.721499742184577</c:v>
                </c:pt>
                <c:pt idx="425">
                  <c:v>-49.015013460460835</c:v>
                </c:pt>
                <c:pt idx="426">
                  <c:v>-49.30770612493815</c:v>
                </c:pt>
                <c:pt idx="427">
                  <c:v>-49.599580699022269</c:v>
                </c:pt>
                <c:pt idx="428">
                  <c:v>-49.890640133107645</c:v>
                </c:pt>
                <c:pt idx="429">
                  <c:v>-50.180887364643475</c:v>
                </c:pt>
                <c:pt idx="430">
                  <c:v>-50.47032531820124</c:v>
                </c:pt>
                <c:pt idx="431">
                  <c:v>-50.758956905540323</c:v>
                </c:pt>
                <c:pt idx="432">
                  <c:v>-51.046785025674133</c:v>
                </c:pt>
                <c:pt idx="433">
                  <c:v>-51.333812564935407</c:v>
                </c:pt>
                <c:pt idx="434">
                  <c:v>-51.620042397041622</c:v>
                </c:pt>
                <c:pt idx="435">
                  <c:v>-51.905477383159202</c:v>
                </c:pt>
                <c:pt idx="436">
                  <c:v>-52.190120371968305</c:v>
                </c:pt>
                <c:pt idx="437">
                  <c:v>-52.473974199726392</c:v>
                </c:pt>
                <c:pt idx="438">
                  <c:v>-52.757041690332017</c:v>
                </c:pt>
                <c:pt idx="439">
                  <c:v>-53.039325655387913</c:v>
                </c:pt>
                <c:pt idx="440">
                  <c:v>-53.320828894263897</c:v>
                </c:pt>
                <c:pt idx="441">
                  <c:v>-53.601554194159199</c:v>
                </c:pt>
                <c:pt idx="442">
                  <c:v>-53.88150433016478</c:v>
                </c:pt>
                <c:pt idx="443">
                  <c:v>-54.160682065324686</c:v>
                </c:pt>
                <c:pt idx="444">
                  <c:v>-54.43909015069783</c:v>
                </c:pt>
                <c:pt idx="445">
                  <c:v>-54.716731325418635</c:v>
                </c:pt>
                <c:pt idx="446">
                  <c:v>-54.993608316757971</c:v>
                </c:pt>
                <c:pt idx="447">
                  <c:v>-55.269723840183275</c:v>
                </c:pt>
                <c:pt idx="448">
                  <c:v>-55.545080599418618</c:v>
                </c:pt>
                <c:pt idx="449">
                  <c:v>-55.819681286504235</c:v>
                </c:pt>
                <c:pt idx="450">
                  <c:v>-56.09352858185575</c:v>
                </c:pt>
                <c:pt idx="451">
                  <c:v>-56.36662515432311</c:v>
                </c:pt>
                <c:pt idx="452">
                  <c:v>-56.638973661249352</c:v>
                </c:pt>
                <c:pt idx="453">
                  <c:v>-56.910576748528293</c:v>
                </c:pt>
                <c:pt idx="454">
                  <c:v>-57.181437050663234</c:v>
                </c:pt>
                <c:pt idx="455">
                  <c:v>-57.451557190823621</c:v>
                </c:pt>
                <c:pt idx="456">
                  <c:v>-57.720939780903066</c:v>
                </c:pt>
                <c:pt idx="457">
                  <c:v>-57.989587421575493</c:v>
                </c:pt>
                <c:pt idx="458">
                  <c:v>-58.257502702352546</c:v>
                </c:pt>
                <c:pt idx="459">
                  <c:v>-58.524688201638938</c:v>
                </c:pt>
                <c:pt idx="460">
                  <c:v>-58.791146486789174</c:v>
                </c:pt>
                <c:pt idx="461">
                  <c:v>-59.056880114162311</c:v>
                </c:pt>
                <c:pt idx="462">
                  <c:v>-59.321891629178147</c:v>
                </c:pt>
                <c:pt idx="463">
                  <c:v>-59.586183566371297</c:v>
                </c:pt>
                <c:pt idx="464">
                  <c:v>-59.849758449446554</c:v>
                </c:pt>
                <c:pt idx="465">
                  <c:v>-60.112618791332636</c:v>
                </c:pt>
                <c:pt idx="466">
                  <c:v>-60.374767094236589</c:v>
                </c:pt>
                <c:pt idx="467">
                  <c:v>-60.636205849697284</c:v>
                </c:pt>
                <c:pt idx="468">
                  <c:v>-60.896937538638895</c:v>
                </c:pt>
                <c:pt idx="469">
                  <c:v>-61.156964631423946</c:v>
                </c:pt>
                <c:pt idx="470">
                  <c:v>-61.416289587906121</c:v>
                </c:pt>
                <c:pt idx="471">
                  <c:v>-61.674914857482669</c:v>
                </c:pt>
                <c:pt idx="472">
                  <c:v>-61.932842879146712</c:v>
                </c:pt>
                <c:pt idx="473">
                  <c:v>-62.19007608153899</c:v>
                </c:pt>
                <c:pt idx="474">
                  <c:v>-62.446616882999542</c:v>
                </c:pt>
                <c:pt idx="475">
                  <c:v>-62.702467691618914</c:v>
                </c:pt>
                <c:pt idx="476">
                  <c:v>-62.957630905289314</c:v>
                </c:pt>
                <c:pt idx="477">
                  <c:v>-63.212108911755095</c:v>
                </c:pt>
                <c:pt idx="478">
                  <c:v>-63.465904088663372</c:v>
                </c:pt>
                <c:pt idx="479">
                  <c:v>-63.719018803613963</c:v>
                </c:pt>
                <c:pt idx="480">
                  <c:v>-63.971455414209487</c:v>
                </c:pt>
                <c:pt idx="481">
                  <c:v>-64.223216268104721</c:v>
                </c:pt>
                <c:pt idx="482">
                  <c:v>-64.474303703055853</c:v>
                </c:pt>
                <c:pt idx="483">
                  <c:v>-64.724720046969608</c:v>
                </c:pt>
                <c:pt idx="484">
                  <c:v>-64.974467617952072</c:v>
                </c:pt>
                <c:pt idx="485">
                  <c:v>-65.223548724356974</c:v>
                </c:pt>
                <c:pt idx="486">
                  <c:v>-65.471965664833718</c:v>
                </c:pt>
                <c:pt idx="487">
                  <c:v>-65.719720728375563</c:v>
                </c:pt>
                <c:pt idx="488">
                  <c:v>-65.966816194367198</c:v>
                </c:pt>
                <c:pt idx="489">
                  <c:v>-66.213254332632047</c:v>
                </c:pt>
                <c:pt idx="490">
                  <c:v>-66.459037403479329</c:v>
                </c:pt>
                <c:pt idx="491">
                  <c:v>-66.704167657750816</c:v>
                </c:pt>
                <c:pt idx="492">
                  <c:v>-66.948647336867779</c:v>
                </c:pt>
                <c:pt idx="493">
                  <c:v>-67.192478672876803</c:v>
                </c:pt>
                <c:pt idx="494">
                  <c:v>-67.435663888496151</c:v>
                </c:pt>
                <c:pt idx="495">
                  <c:v>-67.678205197161333</c:v>
                </c:pt>
                <c:pt idx="496">
                  <c:v>-67.920104803070814</c:v>
                </c:pt>
                <c:pt idx="497">
                  <c:v>-68.161364901231323</c:v>
                </c:pt>
                <c:pt idx="498">
                  <c:v>-68.40198767750249</c:v>
                </c:pt>
                <c:pt idx="499">
                  <c:v>-68.641975308641975</c:v>
                </c:pt>
                <c:pt idx="500">
                  <c:v>-68.88132996234998</c:v>
                </c:pt>
                <c:pt idx="501">
                  <c:v>-69.120053797313375</c:v>
                </c:pt>
                <c:pt idx="502">
                  <c:v>-69.358148963249633</c:v>
                </c:pt>
                <c:pt idx="503">
                  <c:v>-69.59561760095076</c:v>
                </c:pt>
                <c:pt idx="504">
                  <c:v>-69.832461842326779</c:v>
                </c:pt>
                <c:pt idx="505">
                  <c:v>-70.068683810449073</c:v>
                </c:pt>
                <c:pt idx="506">
                  <c:v>-70.304285619593259</c:v>
                </c:pt>
                <c:pt idx="507">
                  <c:v>-70.539269375281961</c:v>
                </c:pt>
                <c:pt idx="508">
                  <c:v>-70.773637174327718</c:v>
                </c:pt>
                <c:pt idx="509">
                  <c:v>-71.007391104875012</c:v>
                </c:pt>
                <c:pt idx="510">
                  <c:v>-71.240533246442325</c:v>
                </c:pt>
                <c:pt idx="511">
                  <c:v>-71.473065669964086</c:v>
                </c:pt>
                <c:pt idx="512">
                  <c:v>-71.70499043783235</c:v>
                </c:pt>
                <c:pt idx="513">
                  <c:v>-71.936309603938184</c:v>
                </c:pt>
                <c:pt idx="514">
                  <c:v>-72.167025213712677</c:v>
                </c:pt>
                <c:pt idx="515">
                  <c:v>-72.397139304167908</c:v>
                </c:pt>
                <c:pt idx="516">
                  <c:v>-72.62665390393785</c:v>
                </c:pt>
                <c:pt idx="517">
                  <c:v>-72.855571033318711</c:v>
                </c:pt>
                <c:pt idx="518">
                  <c:v>-73.083892704308937</c:v>
                </c:pt>
                <c:pt idx="519">
                  <c:v>-73.311620920649773</c:v>
                </c:pt>
                <c:pt idx="520">
                  <c:v>-73.538757677864666</c:v>
                </c:pt>
                <c:pt idx="521">
                  <c:v>-73.765304963299016</c:v>
                </c:pt>
                <c:pt idx="522">
                  <c:v>-73.991264756159481</c:v>
                </c:pt>
                <c:pt idx="523">
                  <c:v>-74.216639027553072</c:v>
                </c:pt>
                <c:pt idx="524">
                  <c:v>-74.441429740526374</c:v>
                </c:pt>
                <c:pt idx="525">
                  <c:v>-74.665638850104088</c:v>
                </c:pt>
                <c:pt idx="526">
                  <c:v>-74.889268303327299</c:v>
                </c:pt>
                <c:pt idx="527">
                  <c:v>-75.112320039292143</c:v>
                </c:pt>
                <c:pt idx="528">
                  <c:v>-75.334795989187853</c:v>
                </c:pt>
                <c:pt idx="529">
                  <c:v>-75.55669807633447</c:v>
                </c:pt>
                <c:pt idx="530">
                  <c:v>-75.778028216220605</c:v>
                </c:pt>
                <c:pt idx="531">
                  <c:v>-75.998788316540811</c:v>
                </c:pt>
                <c:pt idx="532">
                  <c:v>-76.21898027723303</c:v>
                </c:pt>
                <c:pt idx="533">
                  <c:v>-76.438605990515626</c:v>
                </c:pt>
                <c:pt idx="534">
                  <c:v>-76.65766734092395</c:v>
                </c:pt>
                <c:pt idx="535">
                  <c:v>-76.876166205347346</c:v>
                </c:pt>
                <c:pt idx="536">
                  <c:v>-77.09410445306537</c:v>
                </c:pt>
                <c:pt idx="537">
                  <c:v>-77.311483945784261</c:v>
                </c:pt>
                <c:pt idx="538">
                  <c:v>-77.528306537672705</c:v>
                </c:pt>
                <c:pt idx="539">
                  <c:v>-77.744574075397907</c:v>
                </c:pt>
                <c:pt idx="540">
                  <c:v>-77.960288398161254</c:v>
                </c:pt>
                <c:pt idx="541">
                  <c:v>-78.175451337733662</c:v>
                </c:pt>
                <c:pt idx="542">
                  <c:v>-78.390064718490947</c:v>
                </c:pt>
                <c:pt idx="543">
                  <c:v>-78.604130357448781</c:v>
                </c:pt>
                <c:pt idx="544">
                  <c:v>-78.817650064297752</c:v>
                </c:pt>
                <c:pt idx="545">
                  <c:v>-79.030625641438021</c:v>
                </c:pt>
                <c:pt idx="546">
                  <c:v>-79.243058884013806</c:v>
                </c:pt>
                <c:pt idx="547">
                  <c:v>-79.454951579947533</c:v>
                </c:pt>
                <c:pt idx="548">
                  <c:v>-79.666305509974322</c:v>
                </c:pt>
                <c:pt idx="549">
                  <c:v>-79.877122447675816</c:v>
                </c:pt>
                <c:pt idx="550">
                  <c:v>-80.087404159513724</c:v>
                </c:pt>
                <c:pt idx="551">
                  <c:v>-80.297152404863681</c:v>
                </c:pt>
                <c:pt idx="552">
                  <c:v>-80.50636893604856</c:v>
                </c:pt>
                <c:pt idx="553">
                  <c:v>-80.715055498371797</c:v>
                </c:pt>
                <c:pt idx="554">
                  <c:v>-80.923213830150218</c:v>
                </c:pt>
                <c:pt idx="555">
                  <c:v>-81.130845662746992</c:v>
                </c:pt>
                <c:pt idx="556">
                  <c:v>-81.337952720604534</c:v>
                </c:pt>
                <c:pt idx="557">
                  <c:v>-81.54453672127687</c:v>
                </c:pt>
                <c:pt idx="558">
                  <c:v>-81.750599375461661</c:v>
                </c:pt>
                <c:pt idx="559">
                  <c:v>-81.956142387032997</c:v>
                </c:pt>
                <c:pt idx="560">
                  <c:v>-82.161167453072878</c:v>
                </c:pt>
                <c:pt idx="561">
                  <c:v>-82.365676263903381</c:v>
                </c:pt>
                <c:pt idx="562">
                  <c:v>-82.569670503117877</c:v>
                </c:pt>
                <c:pt idx="563">
                  <c:v>-82.77315184761315</c:v>
                </c:pt>
                <c:pt idx="564">
                  <c:v>-82.976121967619946</c:v>
                </c:pt>
                <c:pt idx="565">
                  <c:v>-83.1785825267348</c:v>
                </c:pt>
                <c:pt idx="566">
                  <c:v>-83.380535181950705</c:v>
                </c:pt>
                <c:pt idx="567">
                  <c:v>-83.581981583687821</c:v>
                </c:pt>
                <c:pt idx="568">
                  <c:v>-83.782923375824211</c:v>
                </c:pt>
                <c:pt idx="569">
                  <c:v>-83.983362195726585</c:v>
                </c:pt>
                <c:pt idx="570">
                  <c:v>-84.183299674280221</c:v>
                </c:pt>
                <c:pt idx="571">
                  <c:v>-84.382737435919296</c:v>
                </c:pt>
                <c:pt idx="572">
                  <c:v>-84.58167709865694</c:v>
                </c:pt>
                <c:pt idx="573">
                  <c:v>-84.780120274114964</c:v>
                </c:pt>
                <c:pt idx="574">
                  <c:v>-84.97806856755372</c:v>
                </c:pt>
                <c:pt idx="575">
                  <c:v>-85.175523577901345</c:v>
                </c:pt>
                <c:pt idx="576">
                  <c:v>-85.372486897783276</c:v>
                </c:pt>
                <c:pt idx="577">
                  <c:v>-85.568960113551483</c:v>
                </c:pt>
                <c:pt idx="578">
                  <c:v>-85.764944805313618</c:v>
                </c:pt>
                <c:pt idx="579">
                  <c:v>-85.960442546961602</c:v>
                </c:pt>
                <c:pt idx="580">
                  <c:v>-86.155454906200589</c:v>
                </c:pt>
                <c:pt idx="581">
                  <c:v>-86.349983444577603</c:v>
                </c:pt>
                <c:pt idx="582">
                  <c:v>-86.544029717509858</c:v>
                </c:pt>
                <c:pt idx="583">
                  <c:v>-86.737595274313094</c:v>
                </c:pt>
                <c:pt idx="584">
                  <c:v>-86.930681658229631</c:v>
                </c:pt>
                <c:pt idx="585">
                  <c:v>-87.123290406456562</c:v>
                </c:pt>
                <c:pt idx="586">
                  <c:v>-87.315423050173422</c:v>
                </c:pt>
                <c:pt idx="587">
                  <c:v>-87.507081114569971</c:v>
                </c:pt>
                <c:pt idx="588">
                  <c:v>-87.698266118873562</c:v>
                </c:pt>
                <c:pt idx="589">
                  <c:v>-87.888979576376855</c:v>
                </c:pt>
                <c:pt idx="590">
                  <c:v>-88.079222994465042</c:v>
                </c:pt>
                <c:pt idx="591">
                  <c:v>-88.268997874642494</c:v>
                </c:pt>
                <c:pt idx="592">
                  <c:v>-88.458305712560275</c:v>
                </c:pt>
                <c:pt idx="593">
                  <c:v>-88.647147998042755</c:v>
                </c:pt>
                <c:pt idx="594">
                  <c:v>-88.835526215114498</c:v>
                </c:pt>
                <c:pt idx="595">
                  <c:v>-89.023441842026315</c:v>
                </c:pt>
                <c:pt idx="596">
                  <c:v>-89.21089635128223</c:v>
                </c:pt>
                <c:pt idx="597">
                  <c:v>-89.397891209665516</c:v>
                </c:pt>
                <c:pt idx="598">
                  <c:v>-89.584427878264776</c:v>
                </c:pt>
                <c:pt idx="599">
                  <c:v>-89.770507812500014</c:v>
                </c:pt>
                <c:pt idx="600">
                  <c:v>-89.956132462148503</c:v>
                </c:pt>
                <c:pt idx="601">
                  <c:v>-90.141303271370461</c:v>
                </c:pt>
                <c:pt idx="602">
                  <c:v>-90.32602167873489</c:v>
                </c:pt>
                <c:pt idx="603">
                  <c:v>-90.510289117244554</c:v>
                </c:pt>
                <c:pt idx="604">
                  <c:v>-90.694107014361649</c:v>
                </c:pt>
                <c:pt idx="605">
                  <c:v>-90.877476792033036</c:v>
                </c:pt>
                <c:pt idx="606">
                  <c:v>-91.060399866715201</c:v>
                </c:pt>
                <c:pt idx="607">
                  <c:v>-91.242877649399006</c:v>
                </c:pt>
                <c:pt idx="608">
                  <c:v>-91.424911545634771</c:v>
                </c:pt>
                <c:pt idx="609">
                  <c:v>-91.606502955556891</c:v>
                </c:pt>
                <c:pt idx="610">
                  <c:v>-91.787653273908333</c:v>
                </c:pt>
                <c:pt idx="611">
                  <c:v>-91.96836389006495</c:v>
                </c:pt>
                <c:pt idx="612">
                  <c:v>-92.148636188059925</c:v>
                </c:pt>
                <c:pt idx="613">
                  <c:v>-92.328471546607858</c:v>
                </c:pt>
                <c:pt idx="614">
                  <c:v>-92.507871339128982</c:v>
                </c:pt>
                <c:pt idx="615">
                  <c:v>-92.686836933772739</c:v>
                </c:pt>
                <c:pt idx="616">
                  <c:v>-92.865369693441806</c:v>
                </c:pt>
                <c:pt idx="617">
                  <c:v>-93.043470975815723</c:v>
                </c:pt>
                <c:pt idx="618">
                  <c:v>-93.221142133374599</c:v>
                </c:pt>
                <c:pt idx="619">
                  <c:v>-93.398384513422073</c:v>
                </c:pt>
                <c:pt idx="620">
                  <c:v>-93.57519945810904</c:v>
                </c:pt>
                <c:pt idx="621">
                  <c:v>-93.75158830445676</c:v>
                </c:pt>
                <c:pt idx="622">
                  <c:v>-93.927552384379879</c:v>
                </c:pt>
                <c:pt idx="623">
                  <c:v>-94.103093024709196</c:v>
                </c:pt>
                <c:pt idx="624">
                  <c:v>-94.278211547214738</c:v>
                </c:pt>
                <c:pt idx="625">
                  <c:v>-94.452909268628417</c:v>
                </c:pt>
                <c:pt idx="626">
                  <c:v>-94.627187500666565</c:v>
                </c:pt>
                <c:pt idx="627">
                  <c:v>-94.801047550052402</c:v>
                </c:pt>
                <c:pt idx="628">
                  <c:v>-94.974490718538377</c:v>
                </c:pt>
                <c:pt idx="629">
                  <c:v>-95.147518302928518</c:v>
                </c:pt>
                <c:pt idx="630">
                  <c:v>-95.320131595100506</c:v>
                </c:pt>
                <c:pt idx="631">
                  <c:v>-95.492331882027628</c:v>
                </c:pt>
                <c:pt idx="632">
                  <c:v>-95.664120445800719</c:v>
                </c:pt>
                <c:pt idx="633">
                  <c:v>-95.835498563650049</c:v>
                </c:pt>
                <c:pt idx="634">
                  <c:v>-96.006467507966931</c:v>
                </c:pt>
                <c:pt idx="635">
                  <c:v>-96.177028546325175</c:v>
                </c:pt>
                <c:pt idx="636">
                  <c:v>-96.347182941502666</c:v>
                </c:pt>
                <c:pt idx="637">
                  <c:v>-96.516931951502841</c:v>
                </c:pt>
                <c:pt idx="638">
                  <c:v>-96.686276829575647</c:v>
                </c:pt>
                <c:pt idx="639">
                  <c:v>-96.855218824238875</c:v>
                </c:pt>
                <c:pt idx="640">
                  <c:v>-97.023759179299063</c:v>
                </c:pt>
                <c:pt idx="641">
                  <c:v>-97.191899133872511</c:v>
                </c:pt>
                <c:pt idx="642">
                  <c:v>-97.359639922406188</c:v>
                </c:pt>
                <c:pt idx="643">
                  <c:v>-97.526982774698041</c:v>
                </c:pt>
                <c:pt idx="644">
                  <c:v>-97.693928915918008</c:v>
                </c:pt>
                <c:pt idx="645">
                  <c:v>-97.860479566628342</c:v>
                </c:pt>
                <c:pt idx="646">
                  <c:v>-98.02663594280402</c:v>
                </c:pt>
                <c:pt idx="647">
                  <c:v>-98.192399255853047</c:v>
                </c:pt>
                <c:pt idx="648">
                  <c:v>-98.357770712636466</c:v>
                </c:pt>
                <c:pt idx="649">
                  <c:v>-98.522751515488778</c:v>
                </c:pt>
                <c:pt idx="650">
                  <c:v>-98.687342862237742</c:v>
                </c:pt>
                <c:pt idx="651">
                  <c:v>-98.851545946224135</c:v>
                </c:pt>
                <c:pt idx="652">
                  <c:v>-99.015361956321584</c:v>
                </c:pt>
                <c:pt idx="653">
                  <c:v>-99.178792076956483</c:v>
                </c:pt>
                <c:pt idx="654">
                  <c:v>-99.341837488127354</c:v>
                </c:pt>
                <c:pt idx="655">
                  <c:v>-99.504499365424238</c:v>
                </c:pt>
                <c:pt idx="656">
                  <c:v>-99.66677888004827</c:v>
                </c:pt>
                <c:pt idx="657">
                  <c:v>-99.828677198830917</c:v>
                </c:pt>
                <c:pt idx="658">
                  <c:v>-99.990195484253192</c:v>
                </c:pt>
                <c:pt idx="659">
                  <c:v>-100.15133489446457</c:v>
                </c:pt>
                <c:pt idx="660">
                  <c:v>-100.31209658330212</c:v>
                </c:pt>
                <c:pt idx="661">
                  <c:v>-100.47248170030949</c:v>
                </c:pt>
                <c:pt idx="662">
                  <c:v>-100.63249139075548</c:v>
                </c:pt>
                <c:pt idx="663">
                  <c:v>-100.79212679565302</c:v>
                </c:pt>
                <c:pt idx="664">
                  <c:v>-100.95138905177743</c:v>
                </c:pt>
                <c:pt idx="665">
                  <c:v>-101.11027929168533</c:v>
                </c:pt>
                <c:pt idx="666">
                  <c:v>-101.26879864373291</c:v>
                </c:pt>
                <c:pt idx="667">
                  <c:v>-101.42694823209409</c:v>
                </c:pt>
                <c:pt idx="668">
                  <c:v>-101.58472917677898</c:v>
                </c:pt>
                <c:pt idx="669">
                  <c:v>-101.7421425936521</c:v>
                </c:pt>
                <c:pt idx="670">
                  <c:v>-101.89918959445012</c:v>
                </c:pt>
                <c:pt idx="671">
                  <c:v>-102.05587128680013</c:v>
                </c:pt>
                <c:pt idx="672">
                  <c:v>-102.2121887742374</c:v>
                </c:pt>
                <c:pt idx="673">
                  <c:v>-102.36814315622317</c:v>
                </c:pt>
                <c:pt idx="674">
                  <c:v>-102.52373552816243</c:v>
                </c:pt>
                <c:pt idx="675">
                  <c:v>-102.67896698142141</c:v>
                </c:pt>
                <c:pt idx="676">
                  <c:v>-102.8338386033452</c:v>
                </c:pt>
                <c:pt idx="677">
                  <c:v>-102.98835147727517</c:v>
                </c:pt>
                <c:pt idx="678">
                  <c:v>-103.14250668256639</c:v>
                </c:pt>
                <c:pt idx="679">
                  <c:v>-103.29630529460465</c:v>
                </c:pt>
                <c:pt idx="680">
                  <c:v>-103.44974838482392</c:v>
                </c:pt>
                <c:pt idx="681">
                  <c:v>-103.60283702072343</c:v>
                </c:pt>
                <c:pt idx="682">
                  <c:v>-103.7555722658845</c:v>
                </c:pt>
                <c:pt idx="683">
                  <c:v>-103.90795517998757</c:v>
                </c:pt>
                <c:pt idx="684">
                  <c:v>-104.05998681882897</c:v>
                </c:pt>
                <c:pt idx="685">
                  <c:v>-104.21166823433788</c:v>
                </c:pt>
                <c:pt idx="686">
                  <c:v>-104.36300047459281</c:v>
                </c:pt>
                <c:pt idx="687">
                  <c:v>-104.51398458383819</c:v>
                </c:pt>
                <c:pt idx="688">
                  <c:v>-104.66462160250109</c:v>
                </c:pt>
                <c:pt idx="689">
                  <c:v>-104.81491256720732</c:v>
                </c:pt>
                <c:pt idx="690">
                  <c:v>-104.96485851079811</c:v>
                </c:pt>
                <c:pt idx="691">
                  <c:v>-105.11446046234624</c:v>
                </c:pt>
                <c:pt idx="692">
                  <c:v>-105.26371944717215</c:v>
                </c:pt>
                <c:pt idx="693">
                  <c:v>-105.41263648686002</c:v>
                </c:pt>
                <c:pt idx="694">
                  <c:v>-105.56121259927416</c:v>
                </c:pt>
                <c:pt idx="695">
                  <c:v>-105.7094487985745</c:v>
                </c:pt>
                <c:pt idx="696">
                  <c:v>-105.85734609523274</c:v>
                </c:pt>
                <c:pt idx="697">
                  <c:v>-106.00490549604797</c:v>
                </c:pt>
                <c:pt idx="698">
                  <c:v>-106.15212800416259</c:v>
                </c:pt>
                <c:pt idx="699">
                  <c:v>-106.29901461907784</c:v>
                </c:pt>
                <c:pt idx="700">
                  <c:v>-106.44556633666927</c:v>
                </c:pt>
                <c:pt idx="701">
                  <c:v>-106.59178414920231</c:v>
                </c:pt>
                <c:pt idx="702">
                  <c:v>-106.73766904534779</c:v>
                </c:pt>
                <c:pt idx="703">
                  <c:v>-106.88322201019713</c:v>
                </c:pt>
                <c:pt idx="704">
                  <c:v>-107.02844402527762</c:v>
                </c:pt>
                <c:pt idx="705">
                  <c:v>-107.17333606856755</c:v>
                </c:pt>
                <c:pt idx="706">
                  <c:v>-107.31789911451149</c:v>
                </c:pt>
                <c:pt idx="707">
                  <c:v>-107.46213413403525</c:v>
                </c:pt>
                <c:pt idx="708">
                  <c:v>-107.60604209456073</c:v>
                </c:pt>
                <c:pt idx="709">
                  <c:v>-107.74962396002093</c:v>
                </c:pt>
                <c:pt idx="710">
                  <c:v>-107.89288069087476</c:v>
                </c:pt>
                <c:pt idx="711">
                  <c:v>-108.03581324412178</c:v>
                </c:pt>
                <c:pt idx="712">
                  <c:v>-108.17842257331682</c:v>
                </c:pt>
                <c:pt idx="713">
                  <c:v>-108.32070962858458</c:v>
                </c:pt>
                <c:pt idx="714">
                  <c:v>-108.46267535663426</c:v>
                </c:pt>
                <c:pt idx="715">
                  <c:v>-108.60432070077395</c:v>
                </c:pt>
                <c:pt idx="716">
                  <c:v>-108.74564660092508</c:v>
                </c:pt>
                <c:pt idx="717">
                  <c:v>-108.88665399363647</c:v>
                </c:pt>
                <c:pt idx="718">
                  <c:v>-109.02734381209909</c:v>
                </c:pt>
                <c:pt idx="719">
                  <c:v>-109.16771698615975</c:v>
                </c:pt>
                <c:pt idx="720">
                  <c:v>-109.3077744423355</c:v>
                </c:pt>
                <c:pt idx="721">
                  <c:v>-109.44751710382755</c:v>
                </c:pt>
                <c:pt idx="722">
                  <c:v>-109.5869458905352</c:v>
                </c:pt>
                <c:pt idx="723">
                  <c:v>-109.72606171907006</c:v>
                </c:pt>
                <c:pt idx="724">
                  <c:v>-109.86486550276942</c:v>
                </c:pt>
                <c:pt idx="725">
                  <c:v>-110.00335815171034</c:v>
                </c:pt>
                <c:pt idx="726">
                  <c:v>-110.14154057272336</c:v>
                </c:pt>
                <c:pt idx="727">
                  <c:v>-110.27941366940604</c:v>
                </c:pt>
                <c:pt idx="728">
                  <c:v>-110.41697834213642</c:v>
                </c:pt>
                <c:pt idx="729">
                  <c:v>-110.55423548808683</c:v>
                </c:pt>
                <c:pt idx="730">
                  <c:v>-110.6911860012371</c:v>
                </c:pt>
                <c:pt idx="731">
                  <c:v>-110.8278307723881</c:v>
                </c:pt>
                <c:pt idx="732">
                  <c:v>-110.96417068917482</c:v>
                </c:pt>
                <c:pt idx="733">
                  <c:v>-111.10020663607985</c:v>
                </c:pt>
                <c:pt idx="734">
                  <c:v>-111.23593949444654</c:v>
                </c:pt>
                <c:pt idx="735">
                  <c:v>-111.37137014249208</c:v>
                </c:pt>
                <c:pt idx="736">
                  <c:v>-111.50649945532045</c:v>
                </c:pt>
                <c:pt idx="737">
                  <c:v>-111.64132830493557</c:v>
                </c:pt>
                <c:pt idx="738">
                  <c:v>-111.77585756025431</c:v>
                </c:pt>
                <c:pt idx="739">
                  <c:v>-111.91008808711909</c:v>
                </c:pt>
                <c:pt idx="740">
                  <c:v>-112.04402074831096</c:v>
                </c:pt>
                <c:pt idx="741">
                  <c:v>-112.17765640356211</c:v>
                </c:pt>
                <c:pt idx="742">
                  <c:v>-112.31099590956889</c:v>
                </c:pt>
                <c:pt idx="743">
                  <c:v>-112.44404012000412</c:v>
                </c:pt>
                <c:pt idx="744">
                  <c:v>-112.57678988552981</c:v>
                </c:pt>
                <c:pt idx="745">
                  <c:v>-112.70924605380964</c:v>
                </c:pt>
                <c:pt idx="746">
                  <c:v>-112.84140946952142</c:v>
                </c:pt>
                <c:pt idx="747">
                  <c:v>-112.97328097436956</c:v>
                </c:pt>
                <c:pt idx="748">
                  <c:v>-113.10486140709718</c:v>
                </c:pt>
                <c:pt idx="749">
                  <c:v>-113.23615160349854</c:v>
                </c:pt>
                <c:pt idx="750">
                  <c:v>-113.36715239643138</c:v>
                </c:pt>
                <c:pt idx="751">
                  <c:v>-113.4978646158288</c:v>
                </c:pt>
                <c:pt idx="752">
                  <c:v>-113.62828908871155</c:v>
                </c:pt>
                <c:pt idx="753">
                  <c:v>-113.75842663919997</c:v>
                </c:pt>
                <c:pt idx="754">
                  <c:v>-113.88827808852609</c:v>
                </c:pt>
                <c:pt idx="755">
                  <c:v>-114.01784425504545</c:v>
                </c:pt>
                <c:pt idx="756">
                  <c:v>-114.14712595424899</c:v>
                </c:pt>
                <c:pt idx="757">
                  <c:v>-114.27612399877479</c:v>
                </c:pt>
                <c:pt idx="758">
                  <c:v>-114.40483919842018</c:v>
                </c:pt>
                <c:pt idx="759">
                  <c:v>-114.53327236015299</c:v>
                </c:pt>
                <c:pt idx="760">
                  <c:v>-114.66142428812341</c:v>
                </c:pt>
                <c:pt idx="761">
                  <c:v>-114.78929578367556</c:v>
                </c:pt>
                <c:pt idx="762">
                  <c:v>-114.91688764535905</c:v>
                </c:pt>
                <c:pt idx="763">
                  <c:v>-115.04420066894053</c:v>
                </c:pt>
                <c:pt idx="764">
                  <c:v>-115.17123564741492</c:v>
                </c:pt>
                <c:pt idx="765">
                  <c:v>-115.29799337101689</c:v>
                </c:pt>
                <c:pt idx="766">
                  <c:v>-115.42447462723226</c:v>
                </c:pt>
                <c:pt idx="767">
                  <c:v>-115.5506802008092</c:v>
                </c:pt>
                <c:pt idx="768">
                  <c:v>-115.67661087376936</c:v>
                </c:pt>
                <c:pt idx="769">
                  <c:v>-115.80226742541926</c:v>
                </c:pt>
                <c:pt idx="770">
                  <c:v>-115.92765063236108</c:v>
                </c:pt>
                <c:pt idx="771">
                  <c:v>-116.05276126850407</c:v>
                </c:pt>
                <c:pt idx="772">
                  <c:v>-116.17760010507526</c:v>
                </c:pt>
                <c:pt idx="773">
                  <c:v>-116.30216791063052</c:v>
                </c:pt>
                <c:pt idx="774">
                  <c:v>-116.4264654510656</c:v>
                </c:pt>
                <c:pt idx="775">
                  <c:v>-116.55049348962676</c:v>
                </c:pt>
                <c:pt idx="776">
                  <c:v>-116.67425278692168</c:v>
                </c:pt>
                <c:pt idx="777">
                  <c:v>-116.79774410093022</c:v>
                </c:pt>
                <c:pt idx="778">
                  <c:v>-116.92096818701508</c:v>
                </c:pt>
                <c:pt idx="779">
                  <c:v>-117.04392579793253</c:v>
                </c:pt>
                <c:pt idx="780">
                  <c:v>-117.16661768384289</c:v>
                </c:pt>
                <c:pt idx="781">
                  <c:v>-117.28904459232112</c:v>
                </c:pt>
                <c:pt idx="782">
                  <c:v>-117.41120726836735</c:v>
                </c:pt>
                <c:pt idx="783">
                  <c:v>-117.53310645441745</c:v>
                </c:pt>
                <c:pt idx="784">
                  <c:v>-117.65474289035313</c:v>
                </c:pt>
                <c:pt idx="785">
                  <c:v>-117.77611731351254</c:v>
                </c:pt>
                <c:pt idx="786">
                  <c:v>-117.89723045870056</c:v>
                </c:pt>
                <c:pt idx="787">
                  <c:v>-118.01808305819895</c:v>
                </c:pt>
                <c:pt idx="788">
                  <c:v>-118.13867584177666</c:v>
                </c:pt>
                <c:pt idx="789">
                  <c:v>-118.25900953669989</c:v>
                </c:pt>
                <c:pt idx="790">
                  <c:v>-118.37908486774229</c:v>
                </c:pt>
                <c:pt idx="791">
                  <c:v>-118.49890255719512</c:v>
                </c:pt>
                <c:pt idx="792">
                  <c:v>-118.61846332487698</c:v>
                </c:pt>
                <c:pt idx="793">
                  <c:v>-118.73776788814409</c:v>
                </c:pt>
                <c:pt idx="794">
                  <c:v>-118.85681696190008</c:v>
                </c:pt>
                <c:pt idx="795">
                  <c:v>-118.97561125860587</c:v>
                </c:pt>
                <c:pt idx="796">
                  <c:v>-119.09415148828958</c:v>
                </c:pt>
                <c:pt idx="797">
                  <c:v>-119.21243835855616</c:v>
                </c:pt>
                <c:pt idx="798">
                  <c:v>-119.33047257459738</c:v>
                </c:pt>
                <c:pt idx="799">
                  <c:v>-119.44825483920135</c:v>
                </c:pt>
                <c:pt idx="800">
                  <c:v>-119.56578585276223</c:v>
                </c:pt>
                <c:pt idx="801">
                  <c:v>-119.6830663132898</c:v>
                </c:pt>
                <c:pt idx="802">
                  <c:v>-119.80009691641919</c:v>
                </c:pt>
                <c:pt idx="803">
                  <c:v>-119.91687835542018</c:v>
                </c:pt>
                <c:pt idx="804">
                  <c:v>-120.0334113212069</c:v>
                </c:pt>
                <c:pt idx="805">
                  <c:v>-120.14969650234696</c:v>
                </c:pt>
                <c:pt idx="806">
                  <c:v>-120.26573458507124</c:v>
                </c:pt>
                <c:pt idx="807">
                  <c:v>-120.38152625328291</c:v>
                </c:pt>
                <c:pt idx="808">
                  <c:v>-120.49707218856705</c:v>
                </c:pt>
                <c:pt idx="809">
                  <c:v>-120.61237307019941</c:v>
                </c:pt>
                <c:pt idx="810">
                  <c:v>-120.72742957515631</c:v>
                </c:pt>
                <c:pt idx="811">
                  <c:v>-120.84224237812323</c:v>
                </c:pt>
                <c:pt idx="812">
                  <c:v>-120.95681215150427</c:v>
                </c:pt>
                <c:pt idx="813">
                  <c:v>-121.07113956543114</c:v>
                </c:pt>
                <c:pt idx="814">
                  <c:v>-121.1852252877722</c:v>
                </c:pt>
                <c:pt idx="815">
                  <c:v>-121.29906998414157</c:v>
                </c:pt>
                <c:pt idx="816">
                  <c:v>-121.412674317908</c:v>
                </c:pt>
                <c:pt idx="817">
                  <c:v>-121.52603895020387</c:v>
                </c:pt>
                <c:pt idx="818">
                  <c:v>-121.63916453993392</c:v>
                </c:pt>
                <c:pt idx="819">
                  <c:v>-121.75205174378441</c:v>
                </c:pt>
                <c:pt idx="820">
                  <c:v>-121.86470121623168</c:v>
                </c:pt>
                <c:pt idx="821">
                  <c:v>-121.97711360955086</c:v>
                </c:pt>
                <c:pt idx="822">
                  <c:v>-122.0892895738249</c:v>
                </c:pt>
                <c:pt idx="823">
                  <c:v>-122.20122975695291</c:v>
                </c:pt>
                <c:pt idx="824">
                  <c:v>-122.31293480465919</c:v>
                </c:pt>
                <c:pt idx="825">
                  <c:v>-122.42440536050148</c:v>
                </c:pt>
                <c:pt idx="826">
                  <c:v>-122.53564206587957</c:v>
                </c:pt>
                <c:pt idx="827">
                  <c:v>-122.64664556004423</c:v>
                </c:pt>
                <c:pt idx="828">
                  <c:v>-122.75741648010525</c:v>
                </c:pt>
                <c:pt idx="829">
                  <c:v>-122.86795546104004</c:v>
                </c:pt>
                <c:pt idx="830">
                  <c:v>-122.97826313570204</c:v>
                </c:pt>
                <c:pt idx="831">
                  <c:v>-123.08834013482929</c:v>
                </c:pt>
                <c:pt idx="832">
                  <c:v>-123.19818708705243</c:v>
                </c:pt>
                <c:pt idx="833">
                  <c:v>-123.30780461890323</c:v>
                </c:pt>
                <c:pt idx="834">
                  <c:v>-123.41719335482281</c:v>
                </c:pt>
                <c:pt idx="835">
                  <c:v>-123.52635391716989</c:v>
                </c:pt>
                <c:pt idx="836">
                  <c:v>-123.63528692622884</c:v>
                </c:pt>
                <c:pt idx="837">
                  <c:v>-123.74399300021807</c:v>
                </c:pt>
                <c:pt idx="838">
                  <c:v>-123.85247275529792</c:v>
                </c:pt>
                <c:pt idx="839">
                  <c:v>-123.96072680557886</c:v>
                </c:pt>
                <c:pt idx="840">
                  <c:v>-124.06875576312956</c:v>
                </c:pt>
                <c:pt idx="841">
                  <c:v>-124.17656023798475</c:v>
                </c:pt>
                <c:pt idx="842">
                  <c:v>-124.28414083815331</c:v>
                </c:pt>
                <c:pt idx="843">
                  <c:v>-124.39149816962623</c:v>
                </c:pt>
                <c:pt idx="844">
                  <c:v>-124.49863283638449</c:v>
                </c:pt>
                <c:pt idx="845">
                  <c:v>-124.60554544040673</c:v>
                </c:pt>
                <c:pt idx="846">
                  <c:v>-124.71223658167742</c:v>
                </c:pt>
                <c:pt idx="847">
                  <c:v>-124.81870685819432</c:v>
                </c:pt>
                <c:pt idx="848">
                  <c:v>-124.92495686597653</c:v>
                </c:pt>
                <c:pt idx="849">
                  <c:v>-125.03098719907203</c:v>
                </c:pt>
                <c:pt idx="850">
                  <c:v>-125.13679844956529</c:v>
                </c:pt>
                <c:pt idx="851">
                  <c:v>-125.24239120758524</c:v>
                </c:pt>
                <c:pt idx="852">
                  <c:v>-125.3477660613126</c:v>
                </c:pt>
                <c:pt idx="853">
                  <c:v>-125.45292359698756</c:v>
                </c:pt>
                <c:pt idx="854">
                  <c:v>-125.5578643989173</c:v>
                </c:pt>
                <c:pt idx="855">
                  <c:v>-125.6625890494836</c:v>
                </c:pt>
                <c:pt idx="856">
                  <c:v>-125.76709812915031</c:v>
                </c:pt>
                <c:pt idx="857">
                  <c:v>-125.87139221647062</c:v>
                </c:pt>
                <c:pt idx="858">
                  <c:v>-125.97547188809472</c:v>
                </c:pt>
                <c:pt idx="859">
                  <c:v>-126.07933771877704</c:v>
                </c:pt>
                <c:pt idx="860">
                  <c:v>-126.18299028138372</c:v>
                </c:pt>
                <c:pt idx="861">
                  <c:v>-126.2864301468997</c:v>
                </c:pt>
                <c:pt idx="862">
                  <c:v>-126.38965788443622</c:v>
                </c:pt>
                <c:pt idx="863">
                  <c:v>-126.49267406123812</c:v>
                </c:pt>
                <c:pt idx="864">
                  <c:v>-126.59547924269076</c:v>
                </c:pt>
                <c:pt idx="865">
                  <c:v>-126.69807399232756</c:v>
                </c:pt>
                <c:pt idx="866">
                  <c:v>-126.8004588718369</c:v>
                </c:pt>
                <c:pt idx="867">
                  <c:v>-126.90263444106938</c:v>
                </c:pt>
                <c:pt idx="868">
                  <c:v>-127.00460125804489</c:v>
                </c:pt>
                <c:pt idx="869">
                  <c:v>-127.10635987895961</c:v>
                </c:pt>
                <c:pt idx="870">
                  <c:v>-127.20791085819312</c:v>
                </c:pt>
                <c:pt idx="871">
                  <c:v>-127.30925474831538</c:v>
                </c:pt>
                <c:pt idx="872">
                  <c:v>-127.41039210009373</c:v>
                </c:pt>
                <c:pt idx="873">
                  <c:v>-127.51132346249972</c:v>
                </c:pt>
                <c:pt idx="874">
                  <c:v>-127.61204938271604</c:v>
                </c:pt>
                <c:pt idx="875">
                  <c:v>-127.7125704061436</c:v>
                </c:pt>
                <c:pt idx="876">
                  <c:v>-127.81288707640806</c:v>
                </c:pt>
                <c:pt idx="877">
                  <c:v>-127.91299993536691</c:v>
                </c:pt>
                <c:pt idx="878">
                  <c:v>-128.01290952311606</c:v>
                </c:pt>
                <c:pt idx="879">
                  <c:v>-128.11261637799683</c:v>
                </c:pt>
                <c:pt idx="880">
                  <c:v>-128.21212103660238</c:v>
                </c:pt>
                <c:pt idx="881">
                  <c:v>-128.31142403378465</c:v>
                </c:pt>
                <c:pt idx="882">
                  <c:v>-128.41052590266088</c:v>
                </c:pt>
                <c:pt idx="883">
                  <c:v>-128.50942717462036</c:v>
                </c:pt>
                <c:pt idx="884">
                  <c:v>-128.60812837933102</c:v>
                </c:pt>
                <c:pt idx="885">
                  <c:v>-128.70663004474582</c:v>
                </c:pt>
                <c:pt idx="886">
                  <c:v>-128.80493269710959</c:v>
                </c:pt>
                <c:pt idx="887">
                  <c:v>-128.90303686096541</c:v>
                </c:pt>
                <c:pt idx="888">
                  <c:v>-129.00094305916107</c:v>
                </c:pt>
                <c:pt idx="889">
                  <c:v>-129.09865181285565</c:v>
                </c:pt>
                <c:pt idx="890">
                  <c:v>-129.19616364152563</c:v>
                </c:pt>
                <c:pt idx="891">
                  <c:v>-129.29347906297195</c:v>
                </c:pt>
                <c:pt idx="892">
                  <c:v>-129.39059859332571</c:v>
                </c:pt>
                <c:pt idx="893">
                  <c:v>-129.48752274705487</c:v>
                </c:pt>
                <c:pt idx="894">
                  <c:v>-129.58425203697047</c:v>
                </c:pt>
                <c:pt idx="895">
                  <c:v>-129.68078697423309</c:v>
                </c:pt>
                <c:pt idx="896">
                  <c:v>-129.77712806835885</c:v>
                </c:pt>
                <c:pt idx="897">
                  <c:v>-129.87327582722594</c:v>
                </c:pt>
                <c:pt idx="898">
                  <c:v>-129.96923075708054</c:v>
                </c:pt>
                <c:pt idx="899">
                  <c:v>-130.06499336254325</c:v>
                </c:pt>
                <c:pt idx="900">
                  <c:v>-130.1605641466152</c:v>
                </c:pt>
                <c:pt idx="901">
                  <c:v>-130.25594361068397</c:v>
                </c:pt>
                <c:pt idx="902">
                  <c:v>-130.35113225453011</c:v>
                </c:pt>
                <c:pt idx="903">
                  <c:v>-130.44613057633276</c:v>
                </c:pt>
                <c:pt idx="904">
                  <c:v>-130.54093907267611</c:v>
                </c:pt>
                <c:pt idx="905">
                  <c:v>-130.63555823855512</c:v>
                </c:pt>
                <c:pt idx="906">
                  <c:v>-130.72998856738164</c:v>
                </c:pt>
                <c:pt idx="907">
                  <c:v>-130.82423055099051</c:v>
                </c:pt>
                <c:pt idx="908">
                  <c:v>-130.91828467964527</c:v>
                </c:pt>
                <c:pt idx="909">
                  <c:v>-131.01215144204426</c:v>
                </c:pt>
                <c:pt idx="910">
                  <c:v>-131.10583132532645</c:v>
                </c:pt>
                <c:pt idx="911">
                  <c:v>-131.19932481507729</c:v>
                </c:pt>
                <c:pt idx="912">
                  <c:v>-131.29263239533475</c:v>
                </c:pt>
                <c:pt idx="913">
                  <c:v>-131.38575454859475</c:v>
                </c:pt>
                <c:pt idx="914">
                  <c:v>-131.47869175581732</c:v>
                </c:pt>
                <c:pt idx="915">
                  <c:v>-131.57144449643221</c:v>
                </c:pt>
                <c:pt idx="916">
                  <c:v>-131.66401324834479</c:v>
                </c:pt>
                <c:pt idx="917">
                  <c:v>-131.75639848794145</c:v>
                </c:pt>
                <c:pt idx="918">
                  <c:v>-131.84860069009557</c:v>
                </c:pt>
                <c:pt idx="919">
                  <c:v>-131.94062032817322</c:v>
                </c:pt>
                <c:pt idx="920">
                  <c:v>-132.03245787403861</c:v>
                </c:pt>
                <c:pt idx="921">
                  <c:v>-132.12411379805985</c:v>
                </c:pt>
                <c:pt idx="922">
                  <c:v>-132.21558856911446</c:v>
                </c:pt>
                <c:pt idx="923">
                  <c:v>-132.30688265459503</c:v>
                </c:pt>
                <c:pt idx="924">
                  <c:v>-132.39799652041486</c:v>
                </c:pt>
                <c:pt idx="925">
                  <c:v>-132.48893063101312</c:v>
                </c:pt>
                <c:pt idx="926">
                  <c:v>-132.57968544936077</c:v>
                </c:pt>
                <c:pt idx="927">
                  <c:v>-132.6702614369658</c:v>
                </c:pt>
                <c:pt idx="928">
                  <c:v>-132.7606590538789</c:v>
                </c:pt>
                <c:pt idx="929">
                  <c:v>-132.85087875869854</c:v>
                </c:pt>
                <c:pt idx="930">
                  <c:v>-132.94092100857674</c:v>
                </c:pt>
                <c:pt idx="931">
                  <c:v>-133.03078625922427</c:v>
                </c:pt>
                <c:pt idx="932">
                  <c:v>-133.12047496491601</c:v>
                </c:pt>
                <c:pt idx="933">
                  <c:v>-133.2099875784964</c:v>
                </c:pt>
                <c:pt idx="934">
                  <c:v>-133.29932455138464</c:v>
                </c:pt>
                <c:pt idx="935">
                  <c:v>-133.38848633357998</c:v>
                </c:pt>
                <c:pt idx="936">
                  <c:v>-133.47747337366729</c:v>
                </c:pt>
                <c:pt idx="937">
                  <c:v>-133.56628611882169</c:v>
                </c:pt>
                <c:pt idx="938">
                  <c:v>-133.65492501481458</c:v>
                </c:pt>
                <c:pt idx="939">
                  <c:v>-133.74339050601799</c:v>
                </c:pt>
                <c:pt idx="940">
                  <c:v>-133.83168303541058</c:v>
                </c:pt>
                <c:pt idx="941">
                  <c:v>-133.91980304458215</c:v>
                </c:pt>
                <c:pt idx="942">
                  <c:v>-134.00775097373921</c:v>
                </c:pt>
                <c:pt idx="943">
                  <c:v>-134.0955272617098</c:v>
                </c:pt>
                <c:pt idx="944">
                  <c:v>-134.18313234594882</c:v>
                </c:pt>
                <c:pt idx="945">
                  <c:v>-134.27056666254293</c:v>
                </c:pt>
                <c:pt idx="946">
                  <c:v>-134.35783064621575</c:v>
                </c:pt>
                <c:pt idx="947">
                  <c:v>-134.4449247303327</c:v>
                </c:pt>
                <c:pt idx="948">
                  <c:v>-134.5318493469062</c:v>
                </c:pt>
                <c:pt idx="949">
                  <c:v>-134.61860492660068</c:v>
                </c:pt>
                <c:pt idx="950">
                  <c:v>-134.70519189873721</c:v>
                </c:pt>
                <c:pt idx="951">
                  <c:v>-134.79161069129893</c:v>
                </c:pt>
                <c:pt idx="952">
                  <c:v>-134.87786173093551</c:v>
                </c:pt>
                <c:pt idx="953">
                  <c:v>-134.96394544296848</c:v>
                </c:pt>
                <c:pt idx="954">
                  <c:v>-135.04986225139572</c:v>
                </c:pt>
                <c:pt idx="955">
                  <c:v>-135.13561257889671</c:v>
                </c:pt>
                <c:pt idx="956">
                  <c:v>-135.22119684683693</c:v>
                </c:pt>
                <c:pt idx="957">
                  <c:v>-135.30661547527313</c:v>
                </c:pt>
                <c:pt idx="958">
                  <c:v>-135.39186888295791</c:v>
                </c:pt>
                <c:pt idx="959">
                  <c:v>-135.47695748734432</c:v>
                </c:pt>
                <c:pt idx="960">
                  <c:v>-135.56188170459103</c:v>
                </c:pt>
                <c:pt idx="961">
                  <c:v>-135.64664194956683</c:v>
                </c:pt>
                <c:pt idx="962">
                  <c:v>-135.73123863585525</c:v>
                </c:pt>
                <c:pt idx="963">
                  <c:v>-135.81567217575952</c:v>
                </c:pt>
                <c:pt idx="964">
                  <c:v>-135.89994298030706</c:v>
                </c:pt>
                <c:pt idx="965">
                  <c:v>-135.98405145925426</c:v>
                </c:pt>
                <c:pt idx="966">
                  <c:v>-136.06799802109097</c:v>
                </c:pt>
                <c:pt idx="967">
                  <c:v>-136.15178307304532</c:v>
                </c:pt>
                <c:pt idx="968">
                  <c:v>-136.23540702108815</c:v>
                </c:pt>
                <c:pt idx="969">
                  <c:v>-136.31887026993769</c:v>
                </c:pt>
                <c:pt idx="970">
                  <c:v>-136.40217322306412</c:v>
                </c:pt>
                <c:pt idx="971">
                  <c:v>-136.48531628269401</c:v>
                </c:pt>
                <c:pt idx="972">
                  <c:v>-136.56829984981511</c:v>
                </c:pt>
                <c:pt idx="973">
                  <c:v>-136.65112432418047</c:v>
                </c:pt>
                <c:pt idx="974">
                  <c:v>-136.73379010431327</c:v>
                </c:pt>
                <c:pt idx="975">
                  <c:v>-136.81629758751112</c:v>
                </c:pt>
                <c:pt idx="976">
                  <c:v>-136.89864716985051</c:v>
                </c:pt>
                <c:pt idx="977">
                  <c:v>-136.98083924619135</c:v>
                </c:pt>
                <c:pt idx="978">
                  <c:v>-137.06287421018132</c:v>
                </c:pt>
                <c:pt idx="979">
                  <c:v>-137.14475245426016</c:v>
                </c:pt>
                <c:pt idx="980">
                  <c:v>-137.2264743696642</c:v>
                </c:pt>
                <c:pt idx="981">
                  <c:v>-137.30804034643072</c:v>
                </c:pt>
                <c:pt idx="982">
                  <c:v>-137.38945077340222</c:v>
                </c:pt>
                <c:pt idx="983">
                  <c:v>-137.47070603823065</c:v>
                </c:pt>
                <c:pt idx="984">
                  <c:v>-137.55180652738196</c:v>
                </c:pt>
                <c:pt idx="985">
                  <c:v>-137.63275262614022</c:v>
                </c:pt>
                <c:pt idx="986">
                  <c:v>-137.71354471861181</c:v>
                </c:pt>
                <c:pt idx="987">
                  <c:v>-137.79418318773</c:v>
                </c:pt>
                <c:pt idx="988">
                  <c:v>-137.87466841525872</c:v>
                </c:pt>
                <c:pt idx="989">
                  <c:v>-137.9550007817972</c:v>
                </c:pt>
                <c:pt idx="990">
                  <c:v>-138.03518066678393</c:v>
                </c:pt>
                <c:pt idx="991">
                  <c:v>-138.11520844850079</c:v>
                </c:pt>
                <c:pt idx="992">
                  <c:v>-138.19508450407761</c:v>
                </c:pt>
                <c:pt idx="993">
                  <c:v>-138.2748092094958</c:v>
                </c:pt>
                <c:pt idx="994">
                  <c:v>-138.35438293959268</c:v>
                </c:pt>
                <c:pt idx="995">
                  <c:v>-138.43380606806573</c:v>
                </c:pt>
                <c:pt idx="996">
                  <c:v>-138.51307896747662</c:v>
                </c:pt>
                <c:pt idx="997">
                  <c:v>-138.59220200925517</c:v>
                </c:pt>
                <c:pt idx="998">
                  <c:v>-138.67117556370349</c:v>
                </c:pt>
                <c:pt idx="999">
                  <c:v>-138.75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5D-0F48-B746-D1E2882B0FA8}"/>
            </c:ext>
          </c:extLst>
        </c:ser>
        <c:ser>
          <c:idx val="3"/>
          <c:order val="2"/>
          <c:tx>
            <c:strRef>
              <c:f>NPVs!$E$18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NPVs!$B$19:$B$1018</c:f>
              <c:numCache>
                <c:formatCode>0.000%</c:formatCode>
                <c:ptCount val="1000"/>
                <c:pt idx="0" formatCode="0.00%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  <c:pt idx="999">
                  <c:v>1</c:v>
                </c:pt>
              </c:numCache>
            </c:numRef>
          </c:cat>
          <c:val>
            <c:numRef>
              <c:f>NPVs!$E$19:$E$1018</c:f>
              <c:numCache>
                <c:formatCode>General</c:formatCode>
                <c:ptCount val="1000"/>
                <c:pt idx="0">
                  <c:v>149.02209615636033</c:v>
                </c:pt>
                <c:pt idx="1">
                  <c:v>148.04836930160735</c:v>
                </c:pt>
                <c:pt idx="2">
                  <c:v>147.07879656359907</c:v>
                </c:pt>
                <c:pt idx="3">
                  <c:v>146.11335522074296</c:v>
                </c:pt>
                <c:pt idx="4">
                  <c:v>145.15202270084671</c:v>
                </c:pt>
                <c:pt idx="5">
                  <c:v>144.19477657997595</c:v>
                </c:pt>
                <c:pt idx="6">
                  <c:v>143.24159458132527</c:v>
                </c:pt>
                <c:pt idx="7">
                  <c:v>142.29245457409559</c:v>
                </c:pt>
                <c:pt idx="8">
                  <c:v>141.3473345723846</c:v>
                </c:pt>
                <c:pt idx="9">
                  <c:v>140.40621273408317</c:v>
                </c:pt>
                <c:pt idx="10">
                  <c:v>139.46906735978507</c:v>
                </c:pt>
                <c:pt idx="11">
                  <c:v>138.53587689170286</c:v>
                </c:pt>
                <c:pt idx="12">
                  <c:v>137.60661991259525</c:v>
                </c:pt>
                <c:pt idx="13">
                  <c:v>136.68127514470257</c:v>
                </c:pt>
                <c:pt idx="14">
                  <c:v>135.75982144869232</c:v>
                </c:pt>
                <c:pt idx="15">
                  <c:v>134.84223782261188</c:v>
                </c:pt>
                <c:pt idx="16">
                  <c:v>133.9285034008536</c:v>
                </c:pt>
                <c:pt idx="17">
                  <c:v>133.01859745312447</c:v>
                </c:pt>
                <c:pt idx="18">
                  <c:v>132.11249938342883</c:v>
                </c:pt>
                <c:pt idx="19">
                  <c:v>131.21018872905623</c:v>
                </c:pt>
                <c:pt idx="20">
                  <c:v>130.31164515958073</c:v>
                </c:pt>
                <c:pt idx="21">
                  <c:v>129.41684847586629</c:v>
                </c:pt>
                <c:pt idx="22">
                  <c:v>128.52577860908343</c:v>
                </c:pt>
                <c:pt idx="23">
                  <c:v>127.63841561973095</c:v>
                </c:pt>
                <c:pt idx="24">
                  <c:v>126.75473969666939</c:v>
                </c:pt>
                <c:pt idx="25">
                  <c:v>125.87473115615968</c:v>
                </c:pt>
                <c:pt idx="26">
                  <c:v>124.99837044091244</c:v>
                </c:pt>
                <c:pt idx="27">
                  <c:v>124.12563811914332</c:v>
                </c:pt>
                <c:pt idx="28">
                  <c:v>123.25651488363809</c:v>
                </c:pt>
                <c:pt idx="29">
                  <c:v>122.39098155082414</c:v>
                </c:pt>
                <c:pt idx="30">
                  <c:v>121.52901905985098</c:v>
                </c:pt>
                <c:pt idx="31">
                  <c:v>120.67060847167771</c:v>
                </c:pt>
                <c:pt idx="32">
                  <c:v>119.81573096816905</c:v>
                </c:pt>
                <c:pt idx="33">
                  <c:v>118.96436785119766</c:v>
                </c:pt>
                <c:pt idx="34">
                  <c:v>118.11650054175581</c:v>
                </c:pt>
                <c:pt idx="35">
                  <c:v>117.27211057907265</c:v>
                </c:pt>
                <c:pt idx="36">
                  <c:v>116.43117961974077</c:v>
                </c:pt>
                <c:pt idx="37">
                  <c:v>115.59368943684791</c:v>
                </c:pt>
                <c:pt idx="38">
                  <c:v>114.75962191911876</c:v>
                </c:pt>
                <c:pt idx="39">
                  <c:v>113.92895907006056</c:v>
                </c:pt>
                <c:pt idx="40">
                  <c:v>113.10168300711959</c:v>
                </c:pt>
                <c:pt idx="41">
                  <c:v>112.27777596084115</c:v>
                </c:pt>
                <c:pt idx="42">
                  <c:v>111.45722027403961</c:v>
                </c:pt>
                <c:pt idx="43">
                  <c:v>110.63999840097252</c:v>
                </c:pt>
                <c:pt idx="44">
                  <c:v>109.82609290652471</c:v>
                </c:pt>
                <c:pt idx="45">
                  <c:v>109.01548646539607</c:v>
                </c:pt>
                <c:pt idx="46">
                  <c:v>108.20816186129902</c:v>
                </c:pt>
                <c:pt idx="47">
                  <c:v>107.40410198615973</c:v>
                </c:pt>
                <c:pt idx="48">
                  <c:v>106.60328983932905</c:v>
                </c:pt>
                <c:pt idx="49">
                  <c:v>105.80570852679693</c:v>
                </c:pt>
                <c:pt idx="50">
                  <c:v>105.01134126041603</c:v>
                </c:pt>
                <c:pt idx="51">
                  <c:v>104.22017135712974</c:v>
                </c:pt>
                <c:pt idx="52">
                  <c:v>103.43218223820813</c:v>
                </c:pt>
                <c:pt idx="53">
                  <c:v>102.64735742848865</c:v>
                </c:pt>
                <c:pt idx="54">
                  <c:v>101.86568055562503</c:v>
                </c:pt>
                <c:pt idx="55">
                  <c:v>101.08713534934026</c:v>
                </c:pt>
                <c:pt idx="56">
                  <c:v>100.31170564068772</c:v>
                </c:pt>
                <c:pt idx="57">
                  <c:v>99.539375361316601</c:v>
                </c:pt>
                <c:pt idx="58">
                  <c:v>98.770128542744942</c:v>
                </c:pt>
                <c:pt idx="59">
                  <c:v>98.003949315637385</c:v>
                </c:pt>
                <c:pt idx="60">
                  <c:v>97.240821909089902</c:v>
                </c:pt>
                <c:pt idx="61">
                  <c:v>96.480730649919309</c:v>
                </c:pt>
                <c:pt idx="62">
                  <c:v>95.723659961959896</c:v>
                </c:pt>
                <c:pt idx="63">
                  <c:v>94.969594365364145</c:v>
                </c:pt>
                <c:pt idx="64">
                  <c:v>94.218518475911537</c:v>
                </c:pt>
                <c:pt idx="65">
                  <c:v>93.470417004319842</c:v>
                </c:pt>
                <c:pt idx="66">
                  <c:v>92.725274755565522</c:v>
                </c:pt>
                <c:pt idx="67">
                  <c:v>91.983076628206391</c:v>
                </c:pt>
                <c:pt idx="68">
                  <c:v>91.243807613712804</c:v>
                </c:pt>
                <c:pt idx="69">
                  <c:v>90.507452795801527</c:v>
                </c:pt>
                <c:pt idx="70">
                  <c:v>89.773997349777318</c:v>
                </c:pt>
                <c:pt idx="71">
                  <c:v>89.043426541878162</c:v>
                </c:pt>
                <c:pt idx="72">
                  <c:v>88.315725728627342</c:v>
                </c:pt>
                <c:pt idx="73">
                  <c:v>87.590880356188606</c:v>
                </c:pt>
                <c:pt idx="74">
                  <c:v>86.868875959729763</c:v>
                </c:pt>
                <c:pt idx="75">
                  <c:v>86.149698162787658</c:v>
                </c:pt>
                <c:pt idx="76">
                  <c:v>85.433332676641697</c:v>
                </c:pt>
                <c:pt idx="77">
                  <c:v>84.719765299689954</c:v>
                </c:pt>
                <c:pt idx="78">
                  <c:v>84.008981916831942</c:v>
                </c:pt>
                <c:pt idx="79">
                  <c:v>83.300968498854957</c:v>
                </c:pt>
                <c:pt idx="80">
                  <c:v>82.595711101827234</c:v>
                </c:pt>
                <c:pt idx="81">
                  <c:v>81.8931958664935</c:v>
                </c:pt>
                <c:pt idx="82">
                  <c:v>81.19340901767805</c:v>
                </c:pt>
                <c:pt idx="83">
                  <c:v>80.496336863690146</c:v>
                </c:pt>
                <c:pt idx="84">
                  <c:v>79.80196579573645</c:v>
                </c:pt>
                <c:pt idx="85">
                  <c:v>79.110282287336162</c:v>
                </c:pt>
                <c:pt idx="86">
                  <c:v>78.42127289374244</c:v>
                </c:pt>
                <c:pt idx="87">
                  <c:v>77.734924251367119</c:v>
                </c:pt>
                <c:pt idx="88">
                  <c:v>77.051223077211404</c:v>
                </c:pt>
                <c:pt idx="89">
                  <c:v>76.370156168299701</c:v>
                </c:pt>
                <c:pt idx="90">
                  <c:v>75.691710401119153</c:v>
                </c:pt>
                <c:pt idx="91">
                  <c:v>75.015872731062501</c:v>
                </c:pt>
                <c:pt idx="92">
                  <c:v>74.342630191877106</c:v>
                </c:pt>
                <c:pt idx="93">
                  <c:v>73.67196989511578</c:v>
                </c:pt>
                <c:pt idx="94">
                  <c:v>73.00387902959497</c:v>
                </c:pt>
                <c:pt idx="95">
                  <c:v>72.338344860854392</c:v>
                </c:pt>
                <c:pt idx="96">
                  <c:v>71.675354730623496</c:v>
                </c:pt>
                <c:pt idx="97">
                  <c:v>71.014896056289814</c:v>
                </c:pt>
                <c:pt idx="98">
                  <c:v>70.356956330373777</c:v>
                </c:pt>
                <c:pt idx="99">
                  <c:v>69.701523120005419</c:v>
                </c:pt>
                <c:pt idx="100">
                  <c:v>69.048584066407585</c:v>
                </c:pt>
                <c:pt idx="101">
                  <c:v>68.398126884380744</c:v>
                </c:pt>
                <c:pt idx="102">
                  <c:v>67.75013936179441</c:v>
                </c:pt>
                <c:pt idx="103">
                  <c:v>67.104609359080001</c:v>
                </c:pt>
                <c:pt idx="104">
                  <c:v>66.461524808730076</c:v>
                </c:pt>
                <c:pt idx="105">
                  <c:v>65.820873714799532</c:v>
                </c:pt>
                <c:pt idx="106">
                  <c:v>65.182644152412422</c:v>
                </c:pt>
                <c:pt idx="107">
                  <c:v>64.546824267270821</c:v>
                </c:pt>
                <c:pt idx="108">
                  <c:v>63.913402275169787</c:v>
                </c:pt>
                <c:pt idx="109">
                  <c:v>63.282366461513412</c:v>
                </c:pt>
                <c:pt idx="110">
                  <c:v>62.653705180837612</c:v>
                </c:pt>
                <c:pt idx="111">
                  <c:v>62.027406856333862</c:v>
                </c:pt>
                <c:pt idx="112">
                  <c:v>61.403459979379122</c:v>
                </c:pt>
                <c:pt idx="113">
                  <c:v>60.781853109067043</c:v>
                </c:pt>
                <c:pt idx="114">
                  <c:v>60.162574871745242</c:v>
                </c:pt>
                <c:pt idx="115">
                  <c:v>59.545613960553979</c:v>
                </c:pt>
                <c:pt idx="116">
                  <c:v>58.930959134970429</c:v>
                </c:pt>
                <c:pt idx="117">
                  <c:v>58.318599220354393</c:v>
                </c:pt>
                <c:pt idx="118">
                  <c:v>57.708523107499353</c:v>
                </c:pt>
                <c:pt idx="119">
                  <c:v>57.100719752186542</c:v>
                </c:pt>
                <c:pt idx="120">
                  <c:v>56.495178174741604</c:v>
                </c:pt>
                <c:pt idx="121">
                  <c:v>55.891887459595566</c:v>
                </c:pt>
                <c:pt idx="122">
                  <c:v>55.290836754848861</c:v>
                </c:pt>
                <c:pt idx="123">
                  <c:v>54.692015271839374</c:v>
                </c:pt>
                <c:pt idx="124">
                  <c:v>54.095412284712694</c:v>
                </c:pt>
                <c:pt idx="125">
                  <c:v>53.501017129996342</c:v>
                </c:pt>
                <c:pt idx="126">
                  <c:v>52.908819206177199</c:v>
                </c:pt>
                <c:pt idx="127">
                  <c:v>52.318807973282738</c:v>
                </c:pt>
                <c:pt idx="128">
                  <c:v>51.730972952464327</c:v>
                </c:pt>
                <c:pt idx="129">
                  <c:v>51.145303725584462</c:v>
                </c:pt>
                <c:pt idx="130">
                  <c:v>50.561789934807059</c:v>
                </c:pt>
                <c:pt idx="131">
                  <c:v>49.980421282191251</c:v>
                </c:pt>
                <c:pt idx="132">
                  <c:v>49.40118752928786</c:v>
                </c:pt>
                <c:pt idx="133">
                  <c:v>48.824078496738402</c:v>
                </c:pt>
                <c:pt idx="134">
                  <c:v>48.249084063878406</c:v>
                </c:pt>
                <c:pt idx="135">
                  <c:v>47.676194168343201</c:v>
                </c:pt>
                <c:pt idx="136">
                  <c:v>47.105398805676671</c:v>
                </c:pt>
                <c:pt idx="137">
                  <c:v>46.536688028942471</c:v>
                </c:pt>
                <c:pt idx="138">
                  <c:v>45.970051948339254</c:v>
                </c:pt>
                <c:pt idx="139">
                  <c:v>45.405480730818333</c:v>
                </c:pt>
                <c:pt idx="140">
                  <c:v>44.84296459970426</c:v>
                </c:pt>
                <c:pt idx="141">
                  <c:v>44.282493834317762</c:v>
                </c:pt>
                <c:pt idx="142">
                  <c:v>43.724058769602514</c:v>
                </c:pt>
                <c:pt idx="143">
                  <c:v>43.167649795754528</c:v>
                </c:pt>
                <c:pt idx="144">
                  <c:v>42.61325735785325</c:v>
                </c:pt>
                <c:pt idx="145">
                  <c:v>42.060871955497497</c:v>
                </c:pt>
                <c:pt idx="146">
                  <c:v>41.510484142441683</c:v>
                </c:pt>
                <c:pt idx="147">
                  <c:v>40.962084526237291</c:v>
                </c:pt>
                <c:pt idx="148">
                  <c:v>40.415663767874783</c:v>
                </c:pt>
                <c:pt idx="149">
                  <c:v>39.871212581430235</c:v>
                </c:pt>
                <c:pt idx="150">
                  <c:v>39.32872173371279</c:v>
                </c:pt>
                <c:pt idx="151">
                  <c:v>38.788182043916628</c:v>
                </c:pt>
                <c:pt idx="152">
                  <c:v>38.249584383273472</c:v>
                </c:pt>
                <c:pt idx="153">
                  <c:v>37.71291967470998</c:v>
                </c:pt>
                <c:pt idx="154">
                  <c:v>37.178178892505471</c:v>
                </c:pt>
                <c:pt idx="155">
                  <c:v>36.645353061954367</c:v>
                </c:pt>
                <c:pt idx="156">
                  <c:v>36.114433259029077</c:v>
                </c:pt>
                <c:pt idx="157">
                  <c:v>35.585410610047362</c:v>
                </c:pt>
                <c:pt idx="158">
                  <c:v>35.058276291340526</c:v>
                </c:pt>
                <c:pt idx="159">
                  <c:v>34.533021528925602</c:v>
                </c:pt>
                <c:pt idx="160">
                  <c:v>34.009637598178202</c:v>
                </c:pt>
                <c:pt idx="161">
                  <c:v>33.488115823510071</c:v>
                </c:pt>
                <c:pt idx="162">
                  <c:v>32.968447578046522</c:v>
                </c:pt>
                <c:pt idx="163">
                  <c:v>32.450624283308834</c:v>
                </c:pt>
                <c:pt idx="164">
                  <c:v>31.93463740889657</c:v>
                </c:pt>
                <c:pt idx="165">
                  <c:v>31.420478472174494</c:v>
                </c:pt>
                <c:pt idx="166">
                  <c:v>30.908139037959657</c:v>
                </c:pt>
                <c:pt idx="167">
                  <c:v>30.39761071821318</c:v>
                </c:pt>
                <c:pt idx="168">
                  <c:v>29.888885171731737</c:v>
                </c:pt>
                <c:pt idx="169">
                  <c:v>29.381954103843874</c:v>
                </c:pt>
                <c:pt idx="170">
                  <c:v>28.876809266106193</c:v>
                </c:pt>
                <c:pt idx="171">
                  <c:v>28.373442456004071</c:v>
                </c:pt>
                <c:pt idx="172">
                  <c:v>27.871845516652357</c:v>
                </c:pt>
                <c:pt idx="173">
                  <c:v>27.372010336500416</c:v>
                </c:pt>
                <c:pt idx="174">
                  <c:v>26.873928849037434</c:v>
                </c:pt>
                <c:pt idx="175">
                  <c:v>26.377593032501601</c:v>
                </c:pt>
                <c:pt idx="176">
                  <c:v>25.882994909589748</c:v>
                </c:pt>
                <c:pt idx="177">
                  <c:v>25.39012654717088</c:v>
                </c:pt>
                <c:pt idx="178">
                  <c:v>24.898980056000205</c:v>
                </c:pt>
                <c:pt idx="179">
                  <c:v>24.409547590436588</c:v>
                </c:pt>
                <c:pt idx="180">
                  <c:v>23.921821348160883</c:v>
                </c:pt>
                <c:pt idx="181">
                  <c:v>23.435793569897577</c:v>
                </c:pt>
                <c:pt idx="182">
                  <c:v>22.951456539137155</c:v>
                </c:pt>
                <c:pt idx="183">
                  <c:v>22.468802581861986</c:v>
                </c:pt>
                <c:pt idx="184">
                  <c:v>21.987824066272459</c:v>
                </c:pt>
                <c:pt idx="185">
                  <c:v>21.508513402516932</c:v>
                </c:pt>
                <c:pt idx="186">
                  <c:v>21.03086304242219</c:v>
                </c:pt>
                <c:pt idx="187">
                  <c:v>20.554865479226905</c:v>
                </c:pt>
                <c:pt idx="188">
                  <c:v>20.080513247316162</c:v>
                </c:pt>
                <c:pt idx="189">
                  <c:v>19.607798921958967</c:v>
                </c:pt>
                <c:pt idx="190">
                  <c:v>19.136715119046222</c:v>
                </c:pt>
                <c:pt idx="191">
                  <c:v>18.667254494832392</c:v>
                </c:pt>
                <c:pt idx="192">
                  <c:v>18.199409745677222</c:v>
                </c:pt>
                <c:pt idx="193">
                  <c:v>17.733173607791088</c:v>
                </c:pt>
                <c:pt idx="194">
                  <c:v>17.268538856980427</c:v>
                </c:pt>
                <c:pt idx="195">
                  <c:v>16.805498308396643</c:v>
                </c:pt>
                <c:pt idx="196">
                  <c:v>16.344044816285631</c:v>
                </c:pt>
                <c:pt idx="197">
                  <c:v>15.884171273739881</c:v>
                </c:pt>
                <c:pt idx="198">
                  <c:v>15.425870612451703</c:v>
                </c:pt>
                <c:pt idx="199">
                  <c:v>14.969135802469147</c:v>
                </c:pt>
                <c:pt idx="200">
                  <c:v>14.513959851952436</c:v>
                </c:pt>
                <c:pt idx="201">
                  <c:v>14.060335806933644</c:v>
                </c:pt>
                <c:pt idx="202">
                  <c:v>13.608256751076539</c:v>
                </c:pt>
                <c:pt idx="203">
                  <c:v>13.157715805439651</c:v>
                </c:pt>
                <c:pt idx="204">
                  <c:v>12.708706128239626</c:v>
                </c:pt>
                <c:pt idx="205">
                  <c:v>12.261220914617766</c:v>
                </c:pt>
                <c:pt idx="206">
                  <c:v>11.815253396406568</c:v>
                </c:pt>
                <c:pt idx="207">
                  <c:v>11.37079684189986</c:v>
                </c:pt>
                <c:pt idx="208">
                  <c:v>10.927844555622443</c:v>
                </c:pt>
                <c:pt idx="209">
                  <c:v>10.486389878103552</c:v>
                </c:pt>
                <c:pt idx="210">
                  <c:v>10.046426185649956</c:v>
                </c:pt>
                <c:pt idx="211">
                  <c:v>9.6079468901223919</c:v>
                </c:pt>
                <c:pt idx="212">
                  <c:v>9.1709454387122094</c:v>
                </c:pt>
                <c:pt idx="213">
                  <c:v>8.7354153137206794</c:v>
                </c:pt>
                <c:pt idx="214">
                  <c:v>8.3013500323388385</c:v>
                </c:pt>
                <c:pt idx="215">
                  <c:v>7.8687431464302691</c:v>
                </c:pt>
                <c:pt idx="216">
                  <c:v>7.437588242313744</c:v>
                </c:pt>
                <c:pt idx="217">
                  <c:v>7.0078789405491264</c:v>
                </c:pt>
                <c:pt idx="218">
                  <c:v>6.579608895723112</c:v>
                </c:pt>
                <c:pt idx="219">
                  <c:v>6.1527717962383264</c:v>
                </c:pt>
                <c:pt idx="220">
                  <c:v>5.727361364101867</c:v>
                </c:pt>
                <c:pt idx="221">
                  <c:v>5.303371354717477</c:v>
                </c:pt>
                <c:pt idx="222">
                  <c:v>4.8807955566770929</c:v>
                </c:pt>
                <c:pt idx="223">
                  <c:v>4.459627791555917</c:v>
                </c:pt>
                <c:pt idx="224">
                  <c:v>4.039861913706936</c:v>
                </c:pt>
                <c:pt idx="225">
                  <c:v>3.6214918100589202</c:v>
                </c:pt>
                <c:pt idx="226">
                  <c:v>3.2045113999135779</c:v>
                </c:pt>
                <c:pt idx="227">
                  <c:v>2.7889146347467246</c:v>
                </c:pt>
                <c:pt idx="228">
                  <c:v>2.3746954980082577</c:v>
                </c:pt>
                <c:pt idx="229">
                  <c:v>1.9618480049257272</c:v>
                </c:pt>
                <c:pt idx="230">
                  <c:v>1.5503662023076501</c:v>
                </c:pt>
                <c:pt idx="231">
                  <c:v>1.1402441683494686</c:v>
                </c:pt>
                <c:pt idx="232">
                  <c:v>0.73147601243974947</c:v>
                </c:pt>
                <c:pt idx="233">
                  <c:v>0.3240558749688347</c:v>
                </c:pt>
                <c:pt idx="234">
                  <c:v>-8.2022072862137918E-2</c:v>
                </c:pt>
                <c:pt idx="235">
                  <c:v>-0.48676362923043826</c:v>
                </c:pt>
                <c:pt idx="236">
                  <c:v>-0.89017456187914945</c:v>
                </c:pt>
                <c:pt idx="237">
                  <c:v>-1.2922606083041615</c:v>
                </c:pt>
                <c:pt idx="238">
                  <c:v>-1.6930274759396085</c:v>
                </c:pt>
                <c:pt idx="239">
                  <c:v>-2.0924808423414518</c:v>
                </c:pt>
                <c:pt idx="240">
                  <c:v>-2.4906263553701962</c:v>
                </c:pt>
                <c:pt idx="241">
                  <c:v>-2.8874696333725538</c:v>
                </c:pt>
                <c:pt idx="242">
                  <c:v>-3.2830162653615247</c:v>
                </c:pt>
                <c:pt idx="243">
                  <c:v>-3.6772718111954177</c:v>
                </c:pt>
                <c:pt idx="244">
                  <c:v>-4.0702418017550599</c:v>
                </c:pt>
                <c:pt idx="245">
                  <c:v>-4.4619317391206721</c:v>
                </c:pt>
                <c:pt idx="246">
                  <c:v>-4.8523470967469606</c:v>
                </c:pt>
                <c:pt idx="247">
                  <c:v>-5.2414933196372786</c:v>
                </c:pt>
                <c:pt idx="248">
                  <c:v>-5.6293758245158898</c:v>
                </c:pt>
                <c:pt idx="249">
                  <c:v>-6.0159999999999982</c:v>
                </c:pt>
                <c:pt idx="250">
                  <c:v>-6.4013712067701434</c:v>
                </c:pt>
                <c:pt idx="251">
                  <c:v>-6.7854947777393946</c:v>
                </c:pt>
                <c:pt idx="252">
                  <c:v>-7.1683760182211103</c:v>
                </c:pt>
                <c:pt idx="253">
                  <c:v>-7.5500202060961072</c:v>
                </c:pt>
                <c:pt idx="254">
                  <c:v>-7.9304325919785228</c:v>
                </c:pt>
                <c:pt idx="255">
                  <c:v>-8.3096183993803123</c:v>
                </c:pt>
                <c:pt idx="256">
                  <c:v>-8.6875828248744469</c:v>
                </c:pt>
                <c:pt idx="257">
                  <c:v>-9.0643310382575706</c:v>
                </c:pt>
                <c:pt idx="258">
                  <c:v>-9.4398681827111943</c:v>
                </c:pt>
                <c:pt idx="259">
                  <c:v>-9.81419937496198</c:v>
                </c:pt>
                <c:pt idx="260">
                  <c:v>-10.187329705440192</c:v>
                </c:pt>
                <c:pt idx="261">
                  <c:v>-10.559264238438217</c:v>
                </c:pt>
                <c:pt idx="262">
                  <c:v>-10.930008012267351</c:v>
                </c:pt>
                <c:pt idx="263">
                  <c:v>-11.299566039413378</c:v>
                </c:pt>
                <c:pt idx="264">
                  <c:v>-11.667943306691271</c:v>
                </c:pt>
                <c:pt idx="265">
                  <c:v>-12.03514477539899</c:v>
                </c:pt>
                <c:pt idx="266">
                  <c:v>-12.401175381470189</c:v>
                </c:pt>
                <c:pt idx="267">
                  <c:v>-12.76604003562565</c:v>
                </c:pt>
                <c:pt idx="268">
                  <c:v>-13.129743623523773</c:v>
                </c:pt>
                <c:pt idx="269">
                  <c:v>-13.492291005910054</c:v>
                </c:pt>
                <c:pt idx="270">
                  <c:v>-13.853687018765967</c:v>
                </c:pt>
                <c:pt idx="271">
                  <c:v>-14.213936473456101</c:v>
                </c:pt>
                <c:pt idx="272">
                  <c:v>-14.573044156874644</c:v>
                </c:pt>
                <c:pt idx="273">
                  <c:v>-14.931014831590851</c:v>
                </c:pt>
                <c:pt idx="274">
                  <c:v>-15.287853235993992</c:v>
                </c:pt>
                <c:pt idx="275">
                  <c:v>-15.643564084436434</c:v>
                </c:pt>
                <c:pt idx="276">
                  <c:v>-15.99815206737626</c:v>
                </c:pt>
                <c:pt idx="277">
                  <c:v>-16.35162185151885</c:v>
                </c:pt>
                <c:pt idx="278">
                  <c:v>-16.703978079957807</c:v>
                </c:pt>
                <c:pt idx="279">
                  <c:v>-17.055225372314453</c:v>
                </c:pt>
                <c:pt idx="280">
                  <c:v>-17.40536832487637</c:v>
                </c:pt>
                <c:pt idx="281">
                  <c:v>-17.754411510735402</c:v>
                </c:pt>
                <c:pt idx="282">
                  <c:v>-18.102359479924758</c:v>
                </c:pt>
                <c:pt idx="283">
                  <c:v>-18.449216759554666</c:v>
                </c:pt>
                <c:pt idx="284">
                  <c:v>-18.794987853947354</c:v>
                </c:pt>
                <c:pt idx="285">
                  <c:v>-19.139677244771626</c:v>
                </c:pt>
                <c:pt idx="286">
                  <c:v>-19.483289391175504</c:v>
                </c:pt>
                <c:pt idx="287">
                  <c:v>-19.825828729919266</c:v>
                </c:pt>
                <c:pt idx="288">
                  <c:v>-20.167299675506101</c:v>
                </c:pt>
                <c:pt idx="289">
                  <c:v>-20.50770662031357</c:v>
                </c:pt>
                <c:pt idx="290">
                  <c:v>-20.847053934722439</c:v>
                </c:pt>
                <c:pt idx="291">
                  <c:v>-21.185345967246363</c:v>
                </c:pt>
                <c:pt idx="292">
                  <c:v>-21.522587044659055</c:v>
                </c:pt>
                <c:pt idx="293">
                  <c:v>-21.858781472122075</c:v>
                </c:pt>
                <c:pt idx="294">
                  <c:v>-22.19393353331062</c:v>
                </c:pt>
                <c:pt idx="295">
                  <c:v>-22.528047490539407</c:v>
                </c:pt>
                <c:pt idx="296">
                  <c:v>-22.861127584886745</c:v>
                </c:pt>
                <c:pt idx="297">
                  <c:v>-23.193178036318884</c:v>
                </c:pt>
                <c:pt idx="298">
                  <c:v>-23.524203043812349</c:v>
                </c:pt>
                <c:pt idx="299">
                  <c:v>-23.85420678547672</c:v>
                </c:pt>
                <c:pt idx="300">
                  <c:v>-24.183193418675323</c:v>
                </c:pt>
                <c:pt idx="301">
                  <c:v>-24.511167080146322</c:v>
                </c:pt>
                <c:pt idx="302">
                  <c:v>-24.838131886121886</c:v>
                </c:pt>
                <c:pt idx="303">
                  <c:v>-25.164091932447654</c:v>
                </c:pt>
                <c:pt idx="304">
                  <c:v>-25.48905129470031</c:v>
                </c:pt>
                <c:pt idx="305">
                  <c:v>-25.813014028305602</c:v>
                </c:pt>
                <c:pt idx="306">
                  <c:v>-26.135984168654147</c:v>
                </c:pt>
                <c:pt idx="307">
                  <c:v>-26.457965731218046</c:v>
                </c:pt>
                <c:pt idx="308">
                  <c:v>-26.778962711665109</c:v>
                </c:pt>
                <c:pt idx="309">
                  <c:v>-27.09897908597403</c:v>
                </c:pt>
                <c:pt idx="310">
                  <c:v>-27.418018810547096</c:v>
                </c:pt>
                <c:pt idx="311">
                  <c:v>-27.736085822323652</c:v>
                </c:pt>
                <c:pt idx="312">
                  <c:v>-28.053184038891501</c:v>
                </c:pt>
                <c:pt idx="313">
                  <c:v>-28.369317358598963</c:v>
                </c:pt>
                <c:pt idx="314">
                  <c:v>-28.684489660664696</c:v>
                </c:pt>
                <c:pt idx="315">
                  <c:v>-28.998704805288277</c:v>
                </c:pt>
                <c:pt idx="316">
                  <c:v>-29.311966633758587</c:v>
                </c:pt>
                <c:pt idx="317">
                  <c:v>-29.624278968562962</c:v>
                </c:pt>
                <c:pt idx="318">
                  <c:v>-29.93564561349438</c:v>
                </c:pt>
                <c:pt idx="319">
                  <c:v>-30.246070353758817</c:v>
                </c:pt>
                <c:pt idx="320">
                  <c:v>-30.555556956081219</c:v>
                </c:pt>
                <c:pt idx="321">
                  <c:v>-30.864109168811524</c:v>
                </c:pt>
                <c:pt idx="322">
                  <c:v>-31.171730722029139</c:v>
                </c:pt>
                <c:pt idx="323">
                  <c:v>-31.47842532764767</c:v>
                </c:pt>
                <c:pt idx="324">
                  <c:v>-31.784196679518011</c:v>
                </c:pt>
                <c:pt idx="325">
                  <c:v>-32.089048453531646</c:v>
                </c:pt>
                <c:pt idx="326">
                  <c:v>-32.392984307722585</c:v>
                </c:pt>
                <c:pt idx="327">
                  <c:v>-32.696007882369081</c:v>
                </c:pt>
                <c:pt idx="328">
                  <c:v>-32.998122800094372</c:v>
                </c:pt>
                <c:pt idx="329">
                  <c:v>-33.299332665967249</c:v>
                </c:pt>
                <c:pt idx="330">
                  <c:v>-33.599641067601233</c:v>
                </c:pt>
                <c:pt idx="331">
                  <c:v>-33.8990515752539</c:v>
                </c:pt>
                <c:pt idx="332">
                  <c:v>-34.197567741924836</c:v>
                </c:pt>
                <c:pt idx="333">
                  <c:v>-34.49519310345368</c:v>
                </c:pt>
                <c:pt idx="334">
                  <c:v>-34.791931178616913</c:v>
                </c:pt>
                <c:pt idx="335">
                  <c:v>-35.087785469224421</c:v>
                </c:pt>
                <c:pt idx="336">
                  <c:v>-35.38275946021507</c:v>
                </c:pt>
                <c:pt idx="337">
                  <c:v>-35.676856619752265</c:v>
                </c:pt>
                <c:pt idx="338">
                  <c:v>-35.970080399318086</c:v>
                </c:pt>
                <c:pt idx="339">
                  <c:v>-36.262434233807674</c:v>
                </c:pt>
                <c:pt idx="340">
                  <c:v>-36.553921541622117</c:v>
                </c:pt>
                <c:pt idx="341">
                  <c:v>-36.844545724761709</c:v>
                </c:pt>
                <c:pt idx="342">
                  <c:v>-37.134310168917622</c:v>
                </c:pt>
                <c:pt idx="343">
                  <c:v>-37.42321824356393</c:v>
                </c:pt>
                <c:pt idx="344">
                  <c:v>-37.711273302048284</c:v>
                </c:pt>
                <c:pt idx="345">
                  <c:v>-37.998478681682329</c:v>
                </c:pt>
                <c:pt idx="346">
                  <c:v>-38.284837703831627</c:v>
                </c:pt>
                <c:pt idx="347">
                  <c:v>-38.570353674004885</c:v>
                </c:pt>
                <c:pt idx="348">
                  <c:v>-38.85502988194277</c:v>
                </c:pt>
                <c:pt idx="349">
                  <c:v>-39.138869601705579</c:v>
                </c:pt>
                <c:pt idx="350">
                  <c:v>-39.421876091761142</c:v>
                </c:pt>
                <c:pt idx="351">
                  <c:v>-39.704052595071957</c:v>
                </c:pt>
                <c:pt idx="352">
                  <c:v>-39.985402339181242</c:v>
                </c:pt>
                <c:pt idx="353">
                  <c:v>-40.265928536298972</c:v>
                </c:pt>
                <c:pt idx="354">
                  <c:v>-40.545634383387281</c:v>
                </c:pt>
                <c:pt idx="355">
                  <c:v>-40.824523062245142</c:v>
                </c:pt>
                <c:pt idx="356">
                  <c:v>-41.102597739592952</c:v>
                </c:pt>
                <c:pt idx="357">
                  <c:v>-41.3798615671557</c:v>
                </c:pt>
                <c:pt idx="358">
                  <c:v>-41.656317681746565</c:v>
                </c:pt>
                <c:pt idx="359">
                  <c:v>-41.931969205349525</c:v>
                </c:pt>
                <c:pt idx="360">
                  <c:v>-42.206819245201508</c:v>
                </c:pt>
                <c:pt idx="361">
                  <c:v>-42.480870893873892</c:v>
                </c:pt>
                <c:pt idx="362">
                  <c:v>-42.754127229353564</c:v>
                </c:pt>
                <c:pt idx="363">
                  <c:v>-43.026591315123909</c:v>
                </c:pt>
                <c:pt idx="364">
                  <c:v>-43.29826620024447</c:v>
                </c:pt>
                <c:pt idx="365">
                  <c:v>-43.569154919430709</c:v>
                </c:pt>
                <c:pt idx="366">
                  <c:v>-43.839260493132976</c:v>
                </c:pt>
                <c:pt idx="367">
                  <c:v>-44.108585927615337</c:v>
                </c:pt>
                <c:pt idx="368">
                  <c:v>-44.377134215033571</c:v>
                </c:pt>
                <c:pt idx="369">
                  <c:v>-44.644908333512433</c:v>
                </c:pt>
                <c:pt idx="370">
                  <c:v>-44.911911247223252</c:v>
                </c:pt>
                <c:pt idx="371">
                  <c:v>-45.178145906460315</c:v>
                </c:pt>
                <c:pt idx="372">
                  <c:v>-45.443615247717055</c:v>
                </c:pt>
                <c:pt idx="373">
                  <c:v>-45.708322193761589</c:v>
                </c:pt>
                <c:pt idx="374">
                  <c:v>-45.972269653712189</c:v>
                </c:pt>
                <c:pt idx="375">
                  <c:v>-46.235460523111747</c:v>
                </c:pt>
                <c:pt idx="376">
                  <c:v>-46.497897684002233</c:v>
                </c:pt>
                <c:pt idx="377">
                  <c:v>-46.759584004998331</c:v>
                </c:pt>
                <c:pt idx="378">
                  <c:v>-47.020522341360795</c:v>
                </c:pt>
                <c:pt idx="379">
                  <c:v>-47.280715535069447</c:v>
                </c:pt>
                <c:pt idx="380">
                  <c:v>-47.540166414895602</c:v>
                </c:pt>
                <c:pt idx="381">
                  <c:v>-47.798877796473711</c:v>
                </c:pt>
                <c:pt idx="382">
                  <c:v>-48.056852482373216</c:v>
                </c:pt>
                <c:pt idx="383">
                  <c:v>-48.314093262169663</c:v>
                </c:pt>
                <c:pt idx="384">
                  <c:v>-48.570602912515156</c:v>
                </c:pt>
                <c:pt idx="385">
                  <c:v>-48.826384197208611</c:v>
                </c:pt>
                <c:pt idx="386">
                  <c:v>-49.081439867265345</c:v>
                </c:pt>
                <c:pt idx="387">
                  <c:v>-49.335772660986855</c:v>
                </c:pt>
                <c:pt idx="388">
                  <c:v>-49.589385304029349</c:v>
                </c:pt>
                <c:pt idx="389">
                  <c:v>-49.842280509472268</c:v>
                </c:pt>
                <c:pt idx="390">
                  <c:v>-50.094460977886349</c:v>
                </c:pt>
                <c:pt idx="391">
                  <c:v>-50.345929397401392</c:v>
                </c:pt>
                <c:pt idx="392">
                  <c:v>-50.596688443773324</c:v>
                </c:pt>
                <c:pt idx="393">
                  <c:v>-50.8467407804511</c:v>
                </c:pt>
                <c:pt idx="394">
                  <c:v>-51.09608905864286</c:v>
                </c:pt>
                <c:pt idx="395">
                  <c:v>-51.344735917382216</c:v>
                </c:pt>
                <c:pt idx="396">
                  <c:v>-51.592683983593766</c:v>
                </c:pt>
                <c:pt idx="397">
                  <c:v>-51.839935872157952</c:v>
                </c:pt>
                <c:pt idx="398">
                  <c:v>-52.086494185976129</c:v>
                </c:pt>
                <c:pt idx="399">
                  <c:v>-52.332361516034965</c:v>
                </c:pt>
                <c:pt idx="400">
                  <c:v>-52.577540441470241</c:v>
                </c:pt>
                <c:pt idx="401">
                  <c:v>-52.822033529630417</c:v>
                </c:pt>
                <c:pt idx="402">
                  <c:v>-53.065843336139899</c:v>
                </c:pt>
                <c:pt idx="403">
                  <c:v>-53.308972404961985</c:v>
                </c:pt>
                <c:pt idx="404">
                  <c:v>-53.551423268461086</c:v>
                </c:pt>
                <c:pt idx="405">
                  <c:v>-53.793198447464718</c:v>
                </c:pt>
                <c:pt idx="406">
                  <c:v>-54.034300451325237</c:v>
                </c:pt>
                <c:pt idx="407">
                  <c:v>-54.274731777981387</c:v>
                </c:pt>
                <c:pt idx="408">
                  <c:v>-54.514494914018812</c:v>
                </c:pt>
                <c:pt idx="409">
                  <c:v>-54.753592334730648</c:v>
                </c:pt>
                <c:pt idx="410">
                  <c:v>-54.992026504177993</c:v>
                </c:pt>
                <c:pt idx="411">
                  <c:v>-55.22979987524932</c:v>
                </c:pt>
                <c:pt idx="412">
                  <c:v>-55.466914889720279</c:v>
                </c:pt>
                <c:pt idx="413">
                  <c:v>-55.703373978312349</c:v>
                </c:pt>
                <c:pt idx="414">
                  <c:v>-55.939179560752137</c:v>
                </c:pt>
                <c:pt idx="415">
                  <c:v>-56.174334045829042</c:v>
                </c:pt>
                <c:pt idx="416">
                  <c:v>-56.408839831453918</c:v>
                </c:pt>
                <c:pt idx="417">
                  <c:v>-56.642699304716217</c:v>
                </c:pt>
                <c:pt idx="418">
                  <c:v>-56.875914841941679</c:v>
                </c:pt>
                <c:pt idx="419">
                  <c:v>-57.108488808749009</c:v>
                </c:pt>
                <c:pt idx="420">
                  <c:v>-57.340423560106679</c:v>
                </c:pt>
                <c:pt idx="421">
                  <c:v>-57.571721440389005</c:v>
                </c:pt>
                <c:pt idx="422">
                  <c:v>-57.802384783432451</c:v>
                </c:pt>
                <c:pt idx="423">
                  <c:v>-58.032415912590686</c:v>
                </c:pt>
                <c:pt idx="424">
                  <c:v>-58.261817140790356</c:v>
                </c:pt>
                <c:pt idx="425">
                  <c:v>-58.490590770585641</c:v>
                </c:pt>
                <c:pt idx="426">
                  <c:v>-58.718739094213134</c:v>
                </c:pt>
                <c:pt idx="427">
                  <c:v>-58.946264393645833</c:v>
                </c:pt>
                <c:pt idx="428">
                  <c:v>-59.17316894064745</c:v>
                </c:pt>
                <c:pt idx="429">
                  <c:v>-59.399454996825476</c:v>
                </c:pt>
                <c:pt idx="430">
                  <c:v>-59.62512481368514</c:v>
                </c:pt>
                <c:pt idx="431">
                  <c:v>-59.85018063268182</c:v>
                </c:pt>
                <c:pt idx="432">
                  <c:v>-60.074624685274081</c:v>
                </c:pt>
                <c:pt idx="433">
                  <c:v>-60.298459192975734</c:v>
                </c:pt>
                <c:pt idx="434">
                  <c:v>-60.521686367408172</c:v>
                </c:pt>
                <c:pt idx="435">
                  <c:v>-60.744308410351714</c:v>
                </c:pt>
                <c:pt idx="436">
                  <c:v>-60.966327513797452</c:v>
                </c:pt>
                <c:pt idx="437">
                  <c:v>-61.187745859997939</c:v>
                </c:pt>
                <c:pt idx="438">
                  <c:v>-61.408565621518278</c:v>
                </c:pt>
                <c:pt idx="439">
                  <c:v>-61.628788961286389</c:v>
                </c:pt>
                <c:pt idx="440">
                  <c:v>-61.848418032643508</c:v>
                </c:pt>
                <c:pt idx="441">
                  <c:v>-62.067454979393709</c:v>
                </c:pt>
                <c:pt idx="442">
                  <c:v>-62.285901935853879</c:v>
                </c:pt>
                <c:pt idx="443">
                  <c:v>-62.50376102690263</c:v>
                </c:pt>
                <c:pt idx="444">
                  <c:v>-62.721034368029713</c:v>
                </c:pt>
                <c:pt idx="445">
                  <c:v>-62.937724065384401</c:v>
                </c:pt>
                <c:pt idx="446">
                  <c:v>-63.153832215824082</c:v>
                </c:pt>
                <c:pt idx="447">
                  <c:v>-63.369360906962399</c:v>
                </c:pt>
                <c:pt idx="448">
                  <c:v>-63.584312217217125</c:v>
                </c:pt>
                <c:pt idx="449">
                  <c:v>-63.798688215857624</c:v>
                </c:pt>
                <c:pt idx="450">
                  <c:v>-64.012490963052272</c:v>
                </c:pt>
                <c:pt idx="451">
                  <c:v>-64.225722509915386</c:v>
                </c:pt>
                <c:pt idx="452">
                  <c:v>-64.438384898554034</c:v>
                </c:pt>
                <c:pt idx="453">
                  <c:v>-64.650480162114349</c:v>
                </c:pt>
                <c:pt idx="454">
                  <c:v>-64.862010324828077</c:v>
                </c:pt>
                <c:pt idx="455">
                  <c:v>-65.072977402057845</c:v>
                </c:pt>
                <c:pt idx="456">
                  <c:v>-65.28338340034361</c:v>
                </c:pt>
                <c:pt idx="457">
                  <c:v>-65.493230317447228</c:v>
                </c:pt>
                <c:pt idx="458">
                  <c:v>-65.702520142398299</c:v>
                </c:pt>
                <c:pt idx="459">
                  <c:v>-65.911254855538388</c:v>
                </c:pt>
                <c:pt idx="460">
                  <c:v>-66.119436428566146</c:v>
                </c:pt>
                <c:pt idx="461">
                  <c:v>-66.327066824581081</c:v>
                </c:pt>
                <c:pt idx="462">
                  <c:v>-66.534147998128134</c:v>
                </c:pt>
                <c:pt idx="463">
                  <c:v>-66.740681895241039</c:v>
                </c:pt>
                <c:pt idx="464">
                  <c:v>-66.946670453486362</c:v>
                </c:pt>
                <c:pt idx="465">
                  <c:v>-67.152115602006134</c:v>
                </c:pt>
                <c:pt idx="466">
                  <c:v>-67.357019261561589</c:v>
                </c:pt>
                <c:pt idx="467">
                  <c:v>-67.561383344575347</c:v>
                </c:pt>
                <c:pt idx="468">
                  <c:v>-67.765209755174382</c:v>
                </c:pt>
                <c:pt idx="469">
                  <c:v>-67.968500389232105</c:v>
                </c:pt>
                <c:pt idx="470">
                  <c:v>-68.171257134410411</c:v>
                </c:pt>
                <c:pt idx="471">
                  <c:v>-68.373481870201488</c:v>
                </c:pt>
                <c:pt idx="472">
                  <c:v>-68.57517646796947</c:v>
                </c:pt>
                <c:pt idx="473">
                  <c:v>-68.776342790991563</c:v>
                </c:pt>
                <c:pt idx="474">
                  <c:v>-68.976982694499242</c:v>
                </c:pt>
                <c:pt idx="475">
                  <c:v>-69.177098025719062</c:v>
                </c:pt>
                <c:pt idx="476">
                  <c:v>-69.376690623913248</c:v>
                </c:pt>
                <c:pt idx="477">
                  <c:v>-69.575762320420026</c:v>
                </c:pt>
                <c:pt idx="478">
                  <c:v>-69.774314938693834</c:v>
                </c:pt>
                <c:pt idx="479">
                  <c:v>-69.972350294345034</c:v>
                </c:pt>
                <c:pt idx="480">
                  <c:v>-70.169870195179769</c:v>
                </c:pt>
                <c:pt idx="481">
                  <c:v>-70.366876441239384</c:v>
                </c:pt>
                <c:pt idx="482">
                  <c:v>-70.56337082483941</c:v>
                </c:pt>
                <c:pt idx="483">
                  <c:v>-70.759355130608725</c:v>
                </c:pt>
                <c:pt idx="484">
                  <c:v>-70.954831135528366</c:v>
                </c:pt>
                <c:pt idx="485">
                  <c:v>-71.149800608969983</c:v>
                </c:pt>
                <c:pt idx="486">
                  <c:v>-71.344265312733967</c:v>
                </c:pt>
                <c:pt idx="487">
                  <c:v>-71.538227001087776</c:v>
                </c:pt>
                <c:pt idx="488">
                  <c:v>-71.731687420803851</c:v>
                </c:pt>
                <c:pt idx="489">
                  <c:v>-71.924648311197004</c:v>
                </c:pt>
                <c:pt idx="490">
                  <c:v>-72.117111404162031</c:v>
                </c:pt>
                <c:pt idx="491">
                  <c:v>-72.309078424210782</c:v>
                </c:pt>
                <c:pt idx="492">
                  <c:v>-72.500551088509496</c:v>
                </c:pt>
                <c:pt idx="493">
                  <c:v>-72.691531106915221</c:v>
                </c:pt>
                <c:pt idx="494">
                  <c:v>-72.882020182012525</c:v>
                </c:pt>
                <c:pt idx="495">
                  <c:v>-73.072020009149909</c:v>
                </c:pt>
                <c:pt idx="496">
                  <c:v>-73.261532276475947</c:v>
                </c:pt>
                <c:pt idx="497">
                  <c:v>-73.450558664975432</c:v>
                </c:pt>
                <c:pt idx="498">
                  <c:v>-73.639100848504583</c:v>
                </c:pt>
                <c:pt idx="499">
                  <c:v>-73.827160493827179</c:v>
                </c:pt>
                <c:pt idx="500">
                  <c:v>-74.014739260649606</c:v>
                </c:pt>
                <c:pt idx="501">
                  <c:v>-74.201838801656194</c:v>
                </c:pt>
                <c:pt idx="502">
                  <c:v>-74.388460762543872</c:v>
                </c:pt>
                <c:pt idx="503">
                  <c:v>-74.574606782057074</c:v>
                </c:pt>
                <c:pt idx="504">
                  <c:v>-74.76027849202238</c:v>
                </c:pt>
                <c:pt idx="505">
                  <c:v>-74.945477517382756</c:v>
                </c:pt>
                <c:pt idx="506">
                  <c:v>-75.130205476231765</c:v>
                </c:pt>
                <c:pt idx="507">
                  <c:v>-75.314463979847204</c:v>
                </c:pt>
                <c:pt idx="508">
                  <c:v>-75.498254632725548</c:v>
                </c:pt>
                <c:pt idx="509">
                  <c:v>-75.68157903261492</c:v>
                </c:pt>
                <c:pt idx="510">
                  <c:v>-75.864438770548674</c:v>
                </c:pt>
                <c:pt idx="511">
                  <c:v>-76.046835430878645</c:v>
                </c:pt>
                <c:pt idx="512">
                  <c:v>-76.228770591308148</c:v>
                </c:pt>
                <c:pt idx="513">
                  <c:v>-76.41024582292475</c:v>
                </c:pt>
                <c:pt idx="514">
                  <c:v>-76.591262690232938</c:v>
                </c:pt>
                <c:pt idx="515">
                  <c:v>-76.771822751186463</c:v>
                </c:pt>
                <c:pt idx="516">
                  <c:v>-76.95192755722087</c:v>
                </c:pt>
                <c:pt idx="517">
                  <c:v>-77.13157865328543</c:v>
                </c:pt>
                <c:pt idx="518">
                  <c:v>-77.310777577874802</c:v>
                </c:pt>
                <c:pt idx="519">
                  <c:v>-77.489525863061203</c:v>
                </c:pt>
                <c:pt idx="520">
                  <c:v>-77.667825034525777</c:v>
                </c:pt>
                <c:pt idx="521">
                  <c:v>-77.845676611589823</c:v>
                </c:pt>
                <c:pt idx="522">
                  <c:v>-78.023082107246225</c:v>
                </c:pt>
                <c:pt idx="523">
                  <c:v>-78.200043028190166</c:v>
                </c:pt>
                <c:pt idx="524">
                  <c:v>-78.376560874850412</c:v>
                </c:pt>
                <c:pt idx="525">
                  <c:v>-78.552637141419638</c:v>
                </c:pt>
                <c:pt idx="526">
                  <c:v>-78.72827331588492</c:v>
                </c:pt>
                <c:pt idx="527">
                  <c:v>-78.903470880058279</c:v>
                </c:pt>
                <c:pt idx="528">
                  <c:v>-79.078231309606764</c:v>
                </c:pt>
                <c:pt idx="529">
                  <c:v>-79.252556074082392</c:v>
                </c:pt>
                <c:pt idx="530">
                  <c:v>-79.426446636951965</c:v>
                </c:pt>
                <c:pt idx="531">
                  <c:v>-79.599904455626699</c:v>
                </c:pt>
                <c:pt idx="532">
                  <c:v>-79.772930981491896</c:v>
                </c:pt>
                <c:pt idx="533">
                  <c:v>-79.945527659936175</c:v>
                </c:pt>
                <c:pt idx="534">
                  <c:v>-80.117695930380449</c:v>
                </c:pt>
                <c:pt idx="535">
                  <c:v>-80.289437226307257</c:v>
                </c:pt>
                <c:pt idx="536">
                  <c:v>-80.460752975289324</c:v>
                </c:pt>
                <c:pt idx="537">
                  <c:v>-80.631644599018443</c:v>
                </c:pt>
                <c:pt idx="538">
                  <c:v>-80.802113513333836</c:v>
                </c:pt>
                <c:pt idx="539">
                  <c:v>-80.972161128250619</c:v>
                </c:pt>
                <c:pt idx="540">
                  <c:v>-81.141788847987996</c:v>
                </c:pt>
                <c:pt idx="541">
                  <c:v>-81.310998070997286</c:v>
                </c:pt>
                <c:pt idx="542">
                  <c:v>-81.479790189989828</c:v>
                </c:pt>
                <c:pt idx="543">
                  <c:v>-81.648166591964653</c:v>
                </c:pt>
                <c:pt idx="544">
                  <c:v>-81.816128658236138</c:v>
                </c:pt>
                <c:pt idx="545">
                  <c:v>-81.983677764461532</c:v>
                </c:pt>
                <c:pt idx="546">
                  <c:v>-82.150815280668041</c:v>
                </c:pt>
                <c:pt idx="547">
                  <c:v>-82.317542571280029</c:v>
                </c:pt>
                <c:pt idx="548">
                  <c:v>-82.483860995146074</c:v>
                </c:pt>
                <c:pt idx="549">
                  <c:v>-82.649771905565785</c:v>
                </c:pt>
                <c:pt idx="550">
                  <c:v>-82.815276650316335</c:v>
                </c:pt>
                <c:pt idx="551">
                  <c:v>-82.980376571679159</c:v>
                </c:pt>
                <c:pt idx="552">
                  <c:v>-83.145073006466333</c:v>
                </c:pt>
                <c:pt idx="553">
                  <c:v>-83.309367286046836</c:v>
                </c:pt>
                <c:pt idx="554">
                  <c:v>-83.473260736372453</c:v>
                </c:pt>
                <c:pt idx="555">
                  <c:v>-83.636754678003868</c:v>
                </c:pt>
                <c:pt idx="556">
                  <c:v>-83.7998504261367</c:v>
                </c:pt>
                <c:pt idx="557">
                  <c:v>-83.962549290626868</c:v>
                </c:pt>
                <c:pt idx="558">
                  <c:v>-84.124852576016053</c:v>
                </c:pt>
                <c:pt idx="559">
                  <c:v>-84.286761581557528</c:v>
                </c:pt>
                <c:pt idx="560">
                  <c:v>-84.44827760124096</c:v>
                </c:pt>
                <c:pt idx="561">
                  <c:v>-84.609401923817899</c:v>
                </c:pt>
                <c:pt idx="562">
                  <c:v>-84.770135832826327</c:v>
                </c:pt>
                <c:pt idx="563">
                  <c:v>-84.930480606616001</c:v>
                </c:pt>
                <c:pt idx="564">
                  <c:v>-85.090437518372653</c:v>
                </c:pt>
                <c:pt idx="565">
                  <c:v>-85.250007836143055</c:v>
                </c:pt>
                <c:pt idx="566">
                  <c:v>-85.40919282285914</c:v>
                </c:pt>
                <c:pt idx="567">
                  <c:v>-85.567993736362297</c:v>
                </c:pt>
                <c:pt idx="568">
                  <c:v>-85.726411829427647</c:v>
                </c:pt>
                <c:pt idx="569">
                  <c:v>-85.884448349788215</c:v>
                </c:pt>
                <c:pt idx="570">
                  <c:v>-86.042104540158576</c:v>
                </c:pt>
                <c:pt idx="571">
                  <c:v>-86.199381638258728</c:v>
                </c:pt>
                <c:pt idx="572">
                  <c:v>-86.356280876837872</c:v>
                </c:pt>
                <c:pt idx="573">
                  <c:v>-86.512803483697766</c:v>
                </c:pt>
                <c:pt idx="574">
                  <c:v>-86.668950681716254</c:v>
                </c:pt>
                <c:pt idx="575">
                  <c:v>-86.824723688870421</c:v>
                </c:pt>
                <c:pt idx="576">
                  <c:v>-86.980123718259748</c:v>
                </c:pt>
                <c:pt idx="577">
                  <c:v>-87.135151978129187</c:v>
                </c:pt>
                <c:pt idx="578">
                  <c:v>-87.289809671892172</c:v>
                </c:pt>
                <c:pt idx="579">
                  <c:v>-87.444097998153097</c:v>
                </c:pt>
                <c:pt idx="580">
                  <c:v>-87.598018150730113</c:v>
                </c:pt>
                <c:pt idx="581">
                  <c:v>-87.751571318677776</c:v>
                </c:pt>
                <c:pt idx="582">
                  <c:v>-87.904758686309265</c:v>
                </c:pt>
                <c:pt idx="583">
                  <c:v>-88.057581433218729</c:v>
                </c:pt>
                <c:pt idx="584">
                  <c:v>-88.210040734303476</c:v>
                </c:pt>
                <c:pt idx="585">
                  <c:v>-88.362137759785895</c:v>
                </c:pt>
                <c:pt idx="586">
                  <c:v>-88.513873675235772</c:v>
                </c:pt>
                <c:pt idx="587">
                  <c:v>-88.665249641591373</c:v>
                </c:pt>
                <c:pt idx="588">
                  <c:v>-88.81626681518182</c:v>
                </c:pt>
                <c:pt idx="589">
                  <c:v>-88.966926347748426</c:v>
                </c:pt>
                <c:pt idx="590">
                  <c:v>-89.117229386466164</c:v>
                </c:pt>
                <c:pt idx="591">
                  <c:v>-89.26717707396476</c:v>
                </c:pt>
                <c:pt idx="592">
                  <c:v>-89.416770548350343</c:v>
                </c:pt>
                <c:pt idx="593">
                  <c:v>-89.566010943226232</c:v>
                </c:pt>
                <c:pt idx="594">
                  <c:v>-89.714899387714269</c:v>
                </c:pt>
                <c:pt idx="595">
                  <c:v>-89.863437006475266</c:v>
                </c:pt>
                <c:pt idx="596">
                  <c:v>-90.011624919730139</c:v>
                </c:pt>
                <c:pt idx="597">
                  <c:v>-90.159464243280439</c:v>
                </c:pt>
                <c:pt idx="598">
                  <c:v>-90.306956088528921</c:v>
                </c:pt>
                <c:pt idx="599">
                  <c:v>-90.454101562500014</c:v>
                </c:pt>
                <c:pt idx="600">
                  <c:v>-90.600901767860094</c:v>
                </c:pt>
                <c:pt idx="601">
                  <c:v>-90.747357802937785</c:v>
                </c:pt>
                <c:pt idx="602">
                  <c:v>-90.893470761744169</c:v>
                </c:pt>
                <c:pt idx="603">
                  <c:v>-91.039241733992469</c:v>
                </c:pt>
                <c:pt idx="604">
                  <c:v>-91.18467180511837</c:v>
                </c:pt>
                <c:pt idx="605">
                  <c:v>-91.329762056299501</c:v>
                </c:pt>
                <c:pt idx="606">
                  <c:v>-91.474513564475359</c:v>
                </c:pt>
                <c:pt idx="607">
                  <c:v>-91.618927402366793</c:v>
                </c:pt>
                <c:pt idx="608">
                  <c:v>-91.763004638495374</c:v>
                </c:pt>
                <c:pt idx="609">
                  <c:v>-91.906746337203117</c:v>
                </c:pt>
                <c:pt idx="610">
                  <c:v>-92.050153558671497</c:v>
                </c:pt>
                <c:pt idx="611">
                  <c:v>-92.193227358940618</c:v>
                </c:pt>
                <c:pt idx="612">
                  <c:v>-92.335968789928359</c:v>
                </c:pt>
                <c:pt idx="613">
                  <c:v>-92.478378899449439</c:v>
                </c:pt>
                <c:pt idx="614">
                  <c:v>-92.620458731234336</c:v>
                </c:pt>
                <c:pt idx="615">
                  <c:v>-92.762209324947747</c:v>
                </c:pt>
                <c:pt idx="616">
                  <c:v>-92.903631716207542</c:v>
                </c:pt>
                <c:pt idx="617">
                  <c:v>-93.044726936603283</c:v>
                </c:pt>
                <c:pt idx="618">
                  <c:v>-93.18549601371484</c:v>
                </c:pt>
                <c:pt idx="619">
                  <c:v>-93.325939971130467</c:v>
                </c:pt>
                <c:pt idx="620">
                  <c:v>-93.466059828465276</c:v>
                </c:pt>
                <c:pt idx="621">
                  <c:v>-93.605856601379529</c:v>
                </c:pt>
                <c:pt idx="622">
                  <c:v>-93.745331301596721</c:v>
                </c:pt>
                <c:pt idx="623">
                  <c:v>-93.884484936921211</c:v>
                </c:pt>
                <c:pt idx="624">
                  <c:v>-94.023318511256605</c:v>
                </c:pt>
                <c:pt idx="625">
                  <c:v>-94.161833024623419</c:v>
                </c:pt>
                <c:pt idx="626">
                  <c:v>-94.300029473176693</c:v>
                </c:pt>
                <c:pt idx="627">
                  <c:v>-94.437908849223746</c:v>
                </c:pt>
                <c:pt idx="628">
                  <c:v>-94.57547214124159</c:v>
                </c:pt>
                <c:pt idx="629">
                  <c:v>-94.712720333894538</c:v>
                </c:pt>
                <c:pt idx="630">
                  <c:v>-94.849654408051407</c:v>
                </c:pt>
                <c:pt idx="631">
                  <c:v>-94.986275340802905</c:v>
                </c:pt>
                <c:pt idx="632">
                  <c:v>-95.122584105478666</c:v>
                </c:pt>
                <c:pt idx="633">
                  <c:v>-95.258581671664487</c:v>
                </c:pt>
                <c:pt idx="634">
                  <c:v>-95.394269005219272</c:v>
                </c:pt>
                <c:pt idx="635">
                  <c:v>-95.529647068291808</c:v>
                </c:pt>
                <c:pt idx="636">
                  <c:v>-95.664716819337826</c:v>
                </c:pt>
                <c:pt idx="637">
                  <c:v>-95.79947921313655</c:v>
                </c:pt>
                <c:pt idx="638">
                  <c:v>-95.93393520080734</c:v>
                </c:pt>
                <c:pt idx="639">
                  <c:v>-96.068085729826436</c:v>
                </c:pt>
                <c:pt idx="640">
                  <c:v>-96.201931744043108</c:v>
                </c:pt>
                <c:pt idx="641">
                  <c:v>-96.335474183696405</c:v>
                </c:pt>
                <c:pt idx="642">
                  <c:v>-96.468713985431322</c:v>
                </c:pt>
                <c:pt idx="643">
                  <c:v>-96.601652082314757</c:v>
                </c:pt>
                <c:pt idx="644">
                  <c:v>-96.734289403852046</c:v>
                </c:pt>
                <c:pt idx="645">
                  <c:v>-96.866626876002798</c:v>
                </c:pt>
                <c:pt idx="646">
                  <c:v>-96.998665421196961</c:v>
                </c:pt>
                <c:pt idx="647">
                  <c:v>-97.130405958350536</c:v>
                </c:pt>
                <c:pt idx="648">
                  <c:v>-97.261849402881538</c:v>
                </c:pt>
                <c:pt idx="649">
                  <c:v>-97.392996666725665</c:v>
                </c:pt>
                <c:pt idx="650">
                  <c:v>-97.523848658352051</c:v>
                </c:pt>
                <c:pt idx="651">
                  <c:v>-97.654406282778595</c:v>
                </c:pt>
                <c:pt idx="652">
                  <c:v>-97.784670441587565</c:v>
                </c:pt>
                <c:pt idx="653">
                  <c:v>-97.914642032941018</c:v>
                </c:pt>
                <c:pt idx="654">
                  <c:v>-98.044321951596217</c:v>
                </c:pt>
                <c:pt idx="655">
                  <c:v>-98.173711088920626</c:v>
                </c:pt>
                <c:pt idx="656">
                  <c:v>-98.302810332907143</c:v>
                </c:pt>
                <c:pt idx="657">
                  <c:v>-98.431620568189459</c:v>
                </c:pt>
                <c:pt idx="658">
                  <c:v>-98.560142676056728</c:v>
                </c:pt>
                <c:pt idx="659">
                  <c:v>-98.688377534468628</c:v>
                </c:pt>
                <c:pt idx="660">
                  <c:v>-98.8163260180702</c:v>
                </c:pt>
                <c:pt idx="661">
                  <c:v>-98.943988998206692</c:v>
                </c:pt>
                <c:pt idx="662">
                  <c:v>-99.071367342938203</c:v>
                </c:pt>
                <c:pt idx="663">
                  <c:v>-99.198461917054345</c:v>
                </c:pt>
                <c:pt idx="664">
                  <c:v>-99.325273582088613</c:v>
                </c:pt>
                <c:pt idx="665">
                  <c:v>-99.451803196333302</c:v>
                </c:pt>
                <c:pt idx="666">
                  <c:v>-99.578051614853393</c:v>
                </c:pt>
                <c:pt idx="667">
                  <c:v>-99.704019689501266</c:v>
                </c:pt>
                <c:pt idx="668">
                  <c:v>-99.829708268930659</c:v>
                </c:pt>
                <c:pt idx="669">
                  <c:v>-99.955118198611274</c:v>
                </c:pt>
                <c:pt idx="670">
                  <c:v>-100.08025032084241</c:v>
                </c:pt>
                <c:pt idx="671">
                  <c:v>-100.20510547476728</c:v>
                </c:pt>
                <c:pt idx="672">
                  <c:v>-100.32968449638696</c:v>
                </c:pt>
                <c:pt idx="673">
                  <c:v>-100.45398821857427</c:v>
                </c:pt>
                <c:pt idx="674">
                  <c:v>-100.57801747108761</c:v>
                </c:pt>
                <c:pt idx="675">
                  <c:v>-100.70177308058456</c:v>
                </c:pt>
                <c:pt idx="676">
                  <c:v>-100.82525587063583</c:v>
                </c:pt>
                <c:pt idx="677">
                  <c:v>-100.94846666173881</c:v>
                </c:pt>
                <c:pt idx="678">
                  <c:v>-101.07140627133097</c:v>
                </c:pt>
                <c:pt idx="679">
                  <c:v>-101.19407551380343</c:v>
                </c:pt>
                <c:pt idx="680">
                  <c:v>-101.31647520051446</c:v>
                </c:pt>
                <c:pt idx="681">
                  <c:v>-101.43860613980274</c:v>
                </c:pt>
                <c:pt idx="682">
                  <c:v>-101.56046913700069</c:v>
                </c:pt>
                <c:pt idx="683">
                  <c:v>-101.68206499444756</c:v>
                </c:pt>
                <c:pt idx="684">
                  <c:v>-101.80339451150266</c:v>
                </c:pt>
                <c:pt idx="685">
                  <c:v>-101.92445848455856</c:v>
                </c:pt>
                <c:pt idx="686">
                  <c:v>-102.04525770705388</c:v>
                </c:pt>
                <c:pt idx="687">
                  <c:v>-102.16579296948635</c:v>
                </c:pt>
                <c:pt idx="688">
                  <c:v>-102.28606505942577</c:v>
                </c:pt>
                <c:pt idx="689">
                  <c:v>-102.40607476152658</c:v>
                </c:pt>
                <c:pt idx="690">
                  <c:v>-102.52582285754099</c:v>
                </c:pt>
                <c:pt idx="691">
                  <c:v>-102.64531012633132</c:v>
                </c:pt>
                <c:pt idx="692">
                  <c:v>-102.76453734388279</c:v>
                </c:pt>
                <c:pt idx="693">
                  <c:v>-102.88350528331601</c:v>
                </c:pt>
                <c:pt idx="694">
                  <c:v>-103.00221471489962</c:v>
                </c:pt>
                <c:pt idx="695">
                  <c:v>-103.12066640606258</c:v>
                </c:pt>
                <c:pt idx="696">
                  <c:v>-103.23886112140654</c:v>
                </c:pt>
                <c:pt idx="697">
                  <c:v>-103.35679962271831</c:v>
                </c:pt>
                <c:pt idx="698">
                  <c:v>-103.47448266898196</c:v>
                </c:pt>
                <c:pt idx="699">
                  <c:v>-103.59191101639109</c:v>
                </c:pt>
                <c:pt idx="700">
                  <c:v>-103.70908541836089</c:v>
                </c:pt>
                <c:pt idx="701">
                  <c:v>-103.82600662554017</c:v>
                </c:pt>
                <c:pt idx="702">
                  <c:v>-103.94267538582368</c:v>
                </c:pt>
                <c:pt idx="703">
                  <c:v>-104.05909244436364</c:v>
                </c:pt>
                <c:pt idx="704">
                  <c:v>-104.17525854358182</c:v>
                </c:pt>
                <c:pt idx="705">
                  <c:v>-104.29117442318142</c:v>
                </c:pt>
                <c:pt idx="706">
                  <c:v>-104.40684082015876</c:v>
                </c:pt>
                <c:pt idx="707">
                  <c:v>-104.52225846881504</c:v>
                </c:pt>
                <c:pt idx="708">
                  <c:v>-104.63742810076798</c:v>
                </c:pt>
                <c:pt idx="709">
                  <c:v>-104.75235044496324</c:v>
                </c:pt>
                <c:pt idx="710">
                  <c:v>-104.86702622768648</c:v>
                </c:pt>
                <c:pt idx="711">
                  <c:v>-104.9814561725741</c:v>
                </c:pt>
                <c:pt idx="712">
                  <c:v>-105.09564100062533</c:v>
                </c:pt>
                <c:pt idx="713">
                  <c:v>-105.20958143021315</c:v>
                </c:pt>
                <c:pt idx="714">
                  <c:v>-105.32327817709586</c:v>
                </c:pt>
                <c:pt idx="715">
                  <c:v>-105.43673195442831</c:v>
                </c:pt>
                <c:pt idx="716">
                  <c:v>-105.54994347277292</c:v>
                </c:pt>
                <c:pt idx="717">
                  <c:v>-105.6629134401109</c:v>
                </c:pt>
                <c:pt idx="718">
                  <c:v>-105.77564256185356</c:v>
                </c:pt>
                <c:pt idx="719">
                  <c:v>-105.88813154085304</c:v>
                </c:pt>
                <c:pt idx="720">
                  <c:v>-106.00038107741355</c:v>
                </c:pt>
                <c:pt idx="721">
                  <c:v>-106.11239186930194</c:v>
                </c:pt>
                <c:pt idx="722">
                  <c:v>-106.22416461175902</c:v>
                </c:pt>
                <c:pt idx="723">
                  <c:v>-106.3356999975101</c:v>
                </c:pt>
                <c:pt idx="724">
                  <c:v>-106.44699871677574</c:v>
                </c:pt>
                <c:pt idx="725">
                  <c:v>-106.55806145728259</c:v>
                </c:pt>
                <c:pt idx="726">
                  <c:v>-106.668888904274</c:v>
                </c:pt>
                <c:pt idx="727">
                  <c:v>-106.77948174052069</c:v>
                </c:pt>
                <c:pt idx="728">
                  <c:v>-106.88984064633114</c:v>
                </c:pt>
                <c:pt idx="729">
                  <c:v>-106.99996629956223</c:v>
                </c:pt>
                <c:pt idx="730">
                  <c:v>-107.10985937562968</c:v>
                </c:pt>
                <c:pt idx="731">
                  <c:v>-107.21952054751847</c:v>
                </c:pt>
                <c:pt idx="732">
                  <c:v>-107.32895048579306</c:v>
                </c:pt>
                <c:pt idx="733">
                  <c:v>-107.43814985860786</c:v>
                </c:pt>
                <c:pt idx="734">
                  <c:v>-107.54711933171733</c:v>
                </c:pt>
                <c:pt idx="735">
                  <c:v>-107.65585956848639</c:v>
                </c:pt>
                <c:pt idx="736">
                  <c:v>-107.76437122990026</c:v>
                </c:pt>
                <c:pt idx="737">
                  <c:v>-107.87265497457487</c:v>
                </c:pt>
                <c:pt idx="738">
                  <c:v>-107.98071145876672</c:v>
                </c:pt>
                <c:pt idx="739">
                  <c:v>-108.08854133638293</c:v>
                </c:pt>
                <c:pt idx="740">
                  <c:v>-108.19614525899131</c:v>
                </c:pt>
                <c:pt idx="741">
                  <c:v>-108.30352387582991</c:v>
                </c:pt>
                <c:pt idx="742">
                  <c:v>-108.41067783381733</c:v>
                </c:pt>
                <c:pt idx="743">
                  <c:v>-108.51760777756238</c:v>
                </c:pt>
                <c:pt idx="744">
                  <c:v>-108.62431434937353</c:v>
                </c:pt>
                <c:pt idx="745">
                  <c:v>-108.73079818926909</c:v>
                </c:pt>
                <c:pt idx="746">
                  <c:v>-108.8370599349866</c:v>
                </c:pt>
                <c:pt idx="747">
                  <c:v>-108.94310022199255</c:v>
                </c:pt>
                <c:pt idx="748">
                  <c:v>-109.0489196834918</c:v>
                </c:pt>
                <c:pt idx="749">
                  <c:v>-109.15451895043731</c:v>
                </c:pt>
                <c:pt idx="750">
                  <c:v>-109.25989865153961</c:v>
                </c:pt>
                <c:pt idx="751">
                  <c:v>-109.36505941327603</c:v>
                </c:pt>
                <c:pt idx="752">
                  <c:v>-109.47000185990028</c:v>
                </c:pt>
                <c:pt idx="753">
                  <c:v>-109.57472661345169</c:v>
                </c:pt>
                <c:pt idx="754">
                  <c:v>-109.67923429376465</c:v>
                </c:pt>
                <c:pt idx="755">
                  <c:v>-109.78352551847772</c:v>
                </c:pt>
                <c:pt idx="756">
                  <c:v>-109.88760090304284</c:v>
                </c:pt>
                <c:pt idx="757">
                  <c:v>-109.99146106073457</c:v>
                </c:pt>
                <c:pt idx="758">
                  <c:v>-110.09510660265919</c:v>
                </c:pt>
                <c:pt idx="759">
                  <c:v>-110.1985381377638</c:v>
                </c:pt>
                <c:pt idx="760">
                  <c:v>-110.3017562728453</c:v>
                </c:pt>
                <c:pt idx="761">
                  <c:v>-110.40476161255933</c:v>
                </c:pt>
                <c:pt idx="762">
                  <c:v>-110.50755475942938</c:v>
                </c:pt>
                <c:pt idx="763">
                  <c:v>-110.61013631385561</c:v>
                </c:pt>
                <c:pt idx="764">
                  <c:v>-110.71250687412368</c:v>
                </c:pt>
                <c:pt idx="765">
                  <c:v>-110.81466703641351</c:v>
                </c:pt>
                <c:pt idx="766">
                  <c:v>-110.91661739480827</c:v>
                </c:pt>
                <c:pt idx="767">
                  <c:v>-111.01835854130292</c:v>
                </c:pt>
                <c:pt idx="768">
                  <c:v>-111.11989106581299</c:v>
                </c:pt>
                <c:pt idx="769">
                  <c:v>-111.2212155561831</c:v>
                </c:pt>
                <c:pt idx="770">
                  <c:v>-111.32233259819584</c:v>
                </c:pt>
                <c:pt idx="771">
                  <c:v>-111.42324277558009</c:v>
                </c:pt>
                <c:pt idx="772">
                  <c:v>-111.52394667001967</c:v>
                </c:pt>
                <c:pt idx="773">
                  <c:v>-111.62444486116169</c:v>
                </c:pt>
                <c:pt idx="774">
                  <c:v>-111.72473792662517</c:v>
                </c:pt>
                <c:pt idx="775">
                  <c:v>-111.82482644200937</c:v>
                </c:pt>
                <c:pt idx="776">
                  <c:v>-111.92471098090215</c:v>
                </c:pt>
                <c:pt idx="777">
                  <c:v>-112.0243921148883</c:v>
                </c:pt>
                <c:pt idx="778">
                  <c:v>-112.1238704135578</c:v>
                </c:pt>
                <c:pt idx="779">
                  <c:v>-112.22314644451414</c:v>
                </c:pt>
                <c:pt idx="780">
                  <c:v>-112.32222077338253</c:v>
                </c:pt>
                <c:pt idx="781">
                  <c:v>-112.4210939638178</c:v>
                </c:pt>
                <c:pt idx="782">
                  <c:v>-112.51976657751297</c:v>
                </c:pt>
                <c:pt idx="783">
                  <c:v>-112.61823917420713</c:v>
                </c:pt>
                <c:pt idx="784">
                  <c:v>-112.71651231169338</c:v>
                </c:pt>
                <c:pt idx="785">
                  <c:v>-112.81458654582693</c:v>
                </c:pt>
                <c:pt idx="786">
                  <c:v>-112.91246243053317</c:v>
                </c:pt>
                <c:pt idx="787">
                  <c:v>-113.01014051781561</c:v>
                </c:pt>
                <c:pt idx="788">
                  <c:v>-113.10762135776359</c:v>
                </c:pt>
                <c:pt idx="789">
                  <c:v>-113.20490549856018</c:v>
                </c:pt>
                <c:pt idx="790">
                  <c:v>-113.30199348649033</c:v>
                </c:pt>
                <c:pt idx="791">
                  <c:v>-113.39888586594829</c:v>
                </c:pt>
                <c:pt idx="792">
                  <c:v>-113.49558317944546</c:v>
                </c:pt>
                <c:pt idx="793">
                  <c:v>-113.59208596761822</c:v>
                </c:pt>
                <c:pt idx="794">
                  <c:v>-113.68839476923543</c:v>
                </c:pt>
                <c:pt idx="795">
                  <c:v>-113.78451012120631</c:v>
                </c:pt>
                <c:pt idx="796">
                  <c:v>-113.88043255858784</c:v>
                </c:pt>
                <c:pt idx="797">
                  <c:v>-113.97616261459238</c:v>
                </c:pt>
                <c:pt idx="798">
                  <c:v>-114.0717008205953</c:v>
                </c:pt>
                <c:pt idx="799">
                  <c:v>-114.16704770614237</c:v>
                </c:pt>
                <c:pt idx="800">
                  <c:v>-114.26220379895727</c:v>
                </c:pt>
                <c:pt idx="801">
                  <c:v>-114.35716962494909</c:v>
                </c:pt>
                <c:pt idx="802">
                  <c:v>-114.45194570821958</c:v>
                </c:pt>
                <c:pt idx="803">
                  <c:v>-114.54653257107064</c:v>
                </c:pt>
                <c:pt idx="804">
                  <c:v>-114.64093073401159</c:v>
                </c:pt>
                <c:pt idx="805">
                  <c:v>-114.73514071576642</c:v>
                </c:pt>
                <c:pt idx="806">
                  <c:v>-114.82916303328119</c:v>
                </c:pt>
                <c:pt idx="807">
                  <c:v>-114.9229982017311</c:v>
                </c:pt>
                <c:pt idx="808">
                  <c:v>-115.0166467345278</c:v>
                </c:pt>
                <c:pt idx="809">
                  <c:v>-115.1101091433264</c:v>
                </c:pt>
                <c:pt idx="810">
                  <c:v>-115.20338593803284</c:v>
                </c:pt>
                <c:pt idx="811">
                  <c:v>-115.2964776268107</c:v>
                </c:pt>
                <c:pt idx="812">
                  <c:v>-115.38938471608844</c:v>
                </c:pt>
                <c:pt idx="813">
                  <c:v>-115.48210771056637</c:v>
                </c:pt>
                <c:pt idx="814">
                  <c:v>-115.57464711322362</c:v>
                </c:pt>
                <c:pt idx="815">
                  <c:v>-115.66700342532513</c:v>
                </c:pt>
                <c:pt idx="816">
                  <c:v>-115.75917714642873</c:v>
                </c:pt>
                <c:pt idx="817">
                  <c:v>-115.85116877439155</c:v>
                </c:pt>
                <c:pt idx="818">
                  <c:v>-115.94297880537746</c:v>
                </c:pt>
                <c:pt idx="819">
                  <c:v>-116.03460773386367</c:v>
                </c:pt>
                <c:pt idx="820">
                  <c:v>-116.12605605264733</c:v>
                </c:pt>
                <c:pt idx="821">
                  <c:v>-116.21732425285268</c:v>
                </c:pt>
                <c:pt idx="822">
                  <c:v>-116.30841282393736</c:v>
                </c:pt>
                <c:pt idx="823">
                  <c:v>-116.39932225369959</c:v>
                </c:pt>
                <c:pt idx="824">
                  <c:v>-116.49005302828439</c:v>
                </c:pt>
                <c:pt idx="825">
                  <c:v>-116.58060563219058</c:v>
                </c:pt>
                <c:pt idx="826">
                  <c:v>-116.67098054827714</c:v>
                </c:pt>
                <c:pt idx="827">
                  <c:v>-116.76117825776991</c:v>
                </c:pt>
                <c:pt idx="828">
                  <c:v>-116.85119924026823</c:v>
                </c:pt>
                <c:pt idx="829">
                  <c:v>-116.94104397375126</c:v>
                </c:pt>
                <c:pt idx="830">
                  <c:v>-117.0307129345845</c:v>
                </c:pt>
                <c:pt idx="831">
                  <c:v>-117.12020659752652</c:v>
                </c:pt>
                <c:pt idx="832">
                  <c:v>-117.20952543573505</c:v>
                </c:pt>
                <c:pt idx="833">
                  <c:v>-117.29866992077358</c:v>
                </c:pt>
                <c:pt idx="834">
                  <c:v>-117.38764052261757</c:v>
                </c:pt>
                <c:pt idx="835">
                  <c:v>-117.47643770966108</c:v>
                </c:pt>
                <c:pt idx="836">
                  <c:v>-117.56506194872284</c:v>
                </c:pt>
                <c:pt idx="837">
                  <c:v>-117.65351370505252</c:v>
                </c:pt>
                <c:pt idx="838">
                  <c:v>-117.74179344233707</c:v>
                </c:pt>
                <c:pt idx="839">
                  <c:v>-117.82990162270717</c:v>
                </c:pt>
                <c:pt idx="840">
                  <c:v>-117.91783870674294</c:v>
                </c:pt>
                <c:pt idx="841">
                  <c:v>-118.0056051534805</c:v>
                </c:pt>
                <c:pt idx="842">
                  <c:v>-118.09320142041791</c:v>
                </c:pt>
                <c:pt idx="843">
                  <c:v>-118.18062796352154</c:v>
                </c:pt>
                <c:pt idx="844">
                  <c:v>-118.26788523723171</c:v>
                </c:pt>
                <c:pt idx="845">
                  <c:v>-118.35497369446927</c:v>
                </c:pt>
                <c:pt idx="846">
                  <c:v>-118.44189378664126</c:v>
                </c:pt>
                <c:pt idx="847">
                  <c:v>-118.52864596364701</c:v>
                </c:pt>
                <c:pt idx="848">
                  <c:v>-118.61523067388421</c:v>
                </c:pt>
                <c:pt idx="849">
                  <c:v>-118.70164836425474</c:v>
                </c:pt>
                <c:pt idx="850">
                  <c:v>-118.78789948017062</c:v>
                </c:pt>
                <c:pt idx="851">
                  <c:v>-118.87398446555999</c:v>
                </c:pt>
                <c:pt idx="852">
                  <c:v>-118.9599037628729</c:v>
                </c:pt>
                <c:pt idx="853">
                  <c:v>-119.04565781308712</c:v>
                </c:pt>
                <c:pt idx="854">
                  <c:v>-119.13124705571397</c:v>
                </c:pt>
                <c:pt idx="855">
                  <c:v>-119.21667192880422</c:v>
                </c:pt>
                <c:pt idx="856">
                  <c:v>-119.30193286895367</c:v>
                </c:pt>
                <c:pt idx="857">
                  <c:v>-119.38703031130915</c:v>
                </c:pt>
                <c:pt idx="858">
                  <c:v>-119.47196468957384</c:v>
                </c:pt>
                <c:pt idx="859">
                  <c:v>-119.55673643601331</c:v>
                </c:pt>
                <c:pt idx="860">
                  <c:v>-119.64134598146109</c:v>
                </c:pt>
                <c:pt idx="861">
                  <c:v>-119.72579375532408</c:v>
                </c:pt>
                <c:pt idx="862">
                  <c:v>-119.81008018558845</c:v>
                </c:pt>
                <c:pt idx="863">
                  <c:v>-119.89420569882512</c:v>
                </c:pt>
                <c:pt idx="864">
                  <c:v>-119.97817072019528</c:v>
                </c:pt>
                <c:pt idx="865">
                  <c:v>-120.06197567345593</c:v>
                </c:pt>
                <c:pt idx="866">
                  <c:v>-120.14562098096536</c:v>
                </c:pt>
                <c:pt idx="867">
                  <c:v>-120.22910706368873</c:v>
                </c:pt>
                <c:pt idx="868">
                  <c:v>-120.31243434120344</c:v>
                </c:pt>
                <c:pt idx="869">
                  <c:v>-120.39560323170457</c:v>
                </c:pt>
                <c:pt idx="870">
                  <c:v>-120.47861415201029</c:v>
                </c:pt>
                <c:pt idx="871">
                  <c:v>-120.56146751756735</c:v>
                </c:pt>
                <c:pt idx="872">
                  <c:v>-120.64416374245636</c:v>
                </c:pt>
                <c:pt idx="873">
                  <c:v>-120.72670323939681</c:v>
                </c:pt>
                <c:pt idx="874">
                  <c:v>-120.80908641975307</c:v>
                </c:pt>
                <c:pt idx="875">
                  <c:v>-120.89131369353912</c:v>
                </c:pt>
                <c:pt idx="876">
                  <c:v>-120.9733854694239</c:v>
                </c:pt>
                <c:pt idx="877">
                  <c:v>-121.05530215473684</c:v>
                </c:pt>
                <c:pt idx="878">
                  <c:v>-121.13706415547263</c:v>
                </c:pt>
                <c:pt idx="879">
                  <c:v>-121.21867187629682</c:v>
                </c:pt>
                <c:pt idx="880">
                  <c:v>-121.30012572055075</c:v>
                </c:pt>
                <c:pt idx="881">
                  <c:v>-121.38142609025684</c:v>
                </c:pt>
                <c:pt idx="882">
                  <c:v>-121.46257338612349</c:v>
                </c:pt>
                <c:pt idx="883">
                  <c:v>-121.54356800755048</c:v>
                </c:pt>
                <c:pt idx="884">
                  <c:v>-121.62441035263382</c:v>
                </c:pt>
                <c:pt idx="885">
                  <c:v>-121.70510081817088</c:v>
                </c:pt>
                <c:pt idx="886">
                  <c:v>-121.78563979966543</c:v>
                </c:pt>
                <c:pt idx="887">
                  <c:v>-121.86602769133269</c:v>
                </c:pt>
                <c:pt idx="888">
                  <c:v>-121.94626488610425</c:v>
                </c:pt>
                <c:pt idx="889">
                  <c:v>-122.026351775633</c:v>
                </c:pt>
                <c:pt idx="890">
                  <c:v>-122.10628875029816</c:v>
                </c:pt>
                <c:pt idx="891">
                  <c:v>-122.18607619921022</c:v>
                </c:pt>
                <c:pt idx="892">
                  <c:v>-122.26571451021573</c:v>
                </c:pt>
                <c:pt idx="893">
                  <c:v>-122.34520406990225</c:v>
                </c:pt>
                <c:pt idx="894">
                  <c:v>-122.42454526360325</c:v>
                </c:pt>
                <c:pt idx="895">
                  <c:v>-122.50373847540274</c:v>
                </c:pt>
                <c:pt idx="896">
                  <c:v>-122.5827840881404</c:v>
                </c:pt>
                <c:pt idx="897">
                  <c:v>-122.66168248341613</c:v>
                </c:pt>
                <c:pt idx="898">
                  <c:v>-122.74043404159488</c:v>
                </c:pt>
                <c:pt idx="899">
                  <c:v>-122.8190391418114</c:v>
                </c:pt>
                <c:pt idx="900">
                  <c:v>-122.89749816197495</c:v>
                </c:pt>
                <c:pt idx="901">
                  <c:v>-122.97581147877423</c:v>
                </c:pt>
                <c:pt idx="902">
                  <c:v>-123.05397946768153</c:v>
                </c:pt>
                <c:pt idx="903">
                  <c:v>-123.1320025029581</c:v>
                </c:pt>
                <c:pt idx="904">
                  <c:v>-123.20988095765816</c:v>
                </c:pt>
                <c:pt idx="905">
                  <c:v>-123.28761520363393</c:v>
                </c:pt>
                <c:pt idx="906">
                  <c:v>-123.36520561154003</c:v>
                </c:pt>
                <c:pt idx="907">
                  <c:v>-123.44265255083822</c:v>
                </c:pt>
                <c:pt idx="908">
                  <c:v>-123.51995638980182</c:v>
                </c:pt>
                <c:pt idx="909">
                  <c:v>-123.59711749552025</c:v>
                </c:pt>
                <c:pt idx="910">
                  <c:v>-123.67413623390381</c:v>
                </c:pt>
                <c:pt idx="911">
                  <c:v>-123.75101296968766</c:v>
                </c:pt>
                <c:pt idx="912">
                  <c:v>-123.827748066437</c:v>
                </c:pt>
                <c:pt idx="913">
                  <c:v>-123.90434188655091</c:v>
                </c:pt>
                <c:pt idx="914">
                  <c:v>-123.98079479126716</c:v>
                </c:pt>
                <c:pt idx="915">
                  <c:v>-124.05710714066643</c:v>
                </c:pt>
                <c:pt idx="916">
                  <c:v>-124.13327929367696</c:v>
                </c:pt>
                <c:pt idx="917">
                  <c:v>-124.20931160807862</c:v>
                </c:pt>
                <c:pt idx="918">
                  <c:v>-124.2852044405075</c:v>
                </c:pt>
                <c:pt idx="919">
                  <c:v>-124.36095814646026</c:v>
                </c:pt>
                <c:pt idx="920">
                  <c:v>-124.43657308029834</c:v>
                </c:pt>
                <c:pt idx="921">
                  <c:v>-124.51204959525231</c:v>
                </c:pt>
                <c:pt idx="922">
                  <c:v>-124.58738804342624</c:v>
                </c:pt>
                <c:pt idx="923">
                  <c:v>-124.66258877580184</c:v>
                </c:pt>
                <c:pt idx="924">
                  <c:v>-124.73765214224281</c:v>
                </c:pt>
                <c:pt idx="925">
                  <c:v>-124.81257849149912</c:v>
                </c:pt>
                <c:pt idx="926">
                  <c:v>-124.88736817121095</c:v>
                </c:pt>
                <c:pt idx="927">
                  <c:v>-124.96202152791334</c:v>
                </c:pt>
                <c:pt idx="928">
                  <c:v>-125.03653890703998</c:v>
                </c:pt>
                <c:pt idx="929">
                  <c:v>-125.11092065292752</c:v>
                </c:pt>
                <c:pt idx="930">
                  <c:v>-125.18516710881974</c:v>
                </c:pt>
                <c:pt idx="931">
                  <c:v>-125.2592786168716</c:v>
                </c:pt>
                <c:pt idx="932">
                  <c:v>-125.33325551815345</c:v>
                </c:pt>
                <c:pt idx="933">
                  <c:v>-125.40709815265504</c:v>
                </c:pt>
                <c:pt idx="934">
                  <c:v>-125.48080685928954</c:v>
                </c:pt>
                <c:pt idx="935">
                  <c:v>-125.55438197589773</c:v>
                </c:pt>
                <c:pt idx="936">
                  <c:v>-125.62782383925195</c:v>
                </c:pt>
                <c:pt idx="937">
                  <c:v>-125.70113278506014</c:v>
                </c:pt>
                <c:pt idx="938">
                  <c:v>-125.77430914796992</c:v>
                </c:pt>
                <c:pt idx="939">
                  <c:v>-125.84735326157231</c:v>
                </c:pt>
                <c:pt idx="940">
                  <c:v>-125.92026545840599</c:v>
                </c:pt>
                <c:pt idx="941">
                  <c:v>-125.99304606996125</c:v>
                </c:pt>
                <c:pt idx="942">
                  <c:v>-126.06569542668362</c:v>
                </c:pt>
                <c:pt idx="943">
                  <c:v>-126.13821385797807</c:v>
                </c:pt>
                <c:pt idx="944">
                  <c:v>-126.2106016922128</c:v>
                </c:pt>
                <c:pt idx="945">
                  <c:v>-126.28285925672317</c:v>
                </c:pt>
                <c:pt idx="946">
                  <c:v>-126.35498687781551</c:v>
                </c:pt>
                <c:pt idx="947">
                  <c:v>-126.42698488077099</c:v>
                </c:pt>
                <c:pt idx="948">
                  <c:v>-126.49885358984943</c:v>
                </c:pt>
                <c:pt idx="949">
                  <c:v>-126.57059332829319</c:v>
                </c:pt>
                <c:pt idx="950">
                  <c:v>-126.64220441833093</c:v>
                </c:pt>
                <c:pt idx="951">
                  <c:v>-126.71368718118134</c:v>
                </c:pt>
                <c:pt idx="952">
                  <c:v>-126.78504193705693</c:v>
                </c:pt>
                <c:pt idx="953">
                  <c:v>-126.8562690051678</c:v>
                </c:pt>
                <c:pt idx="954">
                  <c:v>-126.92736870372549</c:v>
                </c:pt>
                <c:pt idx="955">
                  <c:v>-126.99834134994633</c:v>
                </c:pt>
                <c:pt idx="956">
                  <c:v>-127.06918726005571</c:v>
                </c:pt>
                <c:pt idx="957">
                  <c:v>-127.13990674929126</c:v>
                </c:pt>
                <c:pt idx="958">
                  <c:v>-127.21050013190666</c:v>
                </c:pt>
                <c:pt idx="959">
                  <c:v>-127.28096772117543</c:v>
                </c:pt>
                <c:pt idx="960">
                  <c:v>-127.35130982939457</c:v>
                </c:pt>
                <c:pt idx="961">
                  <c:v>-127.42152676788785</c:v>
                </c:pt>
                <c:pt idx="962">
                  <c:v>-127.49161884700989</c:v>
                </c:pt>
                <c:pt idx="963">
                  <c:v>-127.56158637614945</c:v>
                </c:pt>
                <c:pt idx="964">
                  <c:v>-127.63142966373299</c:v>
                </c:pt>
                <c:pt idx="965">
                  <c:v>-127.70114901722846</c:v>
                </c:pt>
                <c:pt idx="966">
                  <c:v>-127.77074474314871</c:v>
                </c:pt>
                <c:pt idx="967">
                  <c:v>-127.84021714705491</c:v>
                </c:pt>
                <c:pt idx="968">
                  <c:v>-127.90956653356025</c:v>
                </c:pt>
                <c:pt idx="969">
                  <c:v>-127.97879320633332</c:v>
                </c:pt>
                <c:pt idx="970">
                  <c:v>-128.04789746810178</c:v>
                </c:pt>
                <c:pt idx="971">
                  <c:v>-128.11687962065548</c:v>
                </c:pt>
                <c:pt idx="972">
                  <c:v>-128.18573996485037</c:v>
                </c:pt>
                <c:pt idx="973">
                  <c:v>-128.25447880061151</c:v>
                </c:pt>
                <c:pt idx="974">
                  <c:v>-128.32309642693684</c:v>
                </c:pt>
                <c:pt idx="975">
                  <c:v>-128.39159314190033</c:v>
                </c:pt>
                <c:pt idx="976">
                  <c:v>-128.45996924265557</c:v>
                </c:pt>
                <c:pt idx="977">
                  <c:v>-128.52822502543918</c:v>
                </c:pt>
                <c:pt idx="978">
                  <c:v>-128.59636078557372</c:v>
                </c:pt>
                <c:pt idx="979">
                  <c:v>-128.66437681747189</c:v>
                </c:pt>
                <c:pt idx="980">
                  <c:v>-128.73227341463902</c:v>
                </c:pt>
                <c:pt idx="981">
                  <c:v>-128.80005086967691</c:v>
                </c:pt>
                <c:pt idx="982">
                  <c:v>-128.86770947428701</c:v>
                </c:pt>
                <c:pt idx="983">
                  <c:v>-128.93524951927358</c:v>
                </c:pt>
                <c:pt idx="984">
                  <c:v>-129.00267129454733</c:v>
                </c:pt>
                <c:pt idx="985">
                  <c:v>-129.06997508912818</c:v>
                </c:pt>
                <c:pt idx="986">
                  <c:v>-129.13716119114909</c:v>
                </c:pt>
                <c:pt idx="987">
                  <c:v>-129.20422988785879</c:v>
                </c:pt>
                <c:pt idx="988">
                  <c:v>-129.27118146562529</c:v>
                </c:pt>
                <c:pt idx="989">
                  <c:v>-129.33801620993913</c:v>
                </c:pt>
                <c:pt idx="990">
                  <c:v>-129.40473440541641</c:v>
                </c:pt>
                <c:pt idx="991">
                  <c:v>-129.47133633580202</c:v>
                </c:pt>
                <c:pt idx="992">
                  <c:v>-129.53782228397299</c:v>
                </c:pt>
                <c:pt idx="993">
                  <c:v>-129.60419253194141</c:v>
                </c:pt>
                <c:pt idx="994">
                  <c:v>-129.67044736085776</c:v>
                </c:pt>
                <c:pt idx="995">
                  <c:v>-129.73658705101388</c:v>
                </c:pt>
                <c:pt idx="996">
                  <c:v>-129.80261188184633</c:v>
                </c:pt>
                <c:pt idx="997">
                  <c:v>-129.86852213193919</c:v>
                </c:pt>
                <c:pt idx="998">
                  <c:v>-129.93431807902749</c:v>
                </c:pt>
                <c:pt idx="999">
                  <c:v>-130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5D-0F48-B746-D1E2882B0FA8}"/>
            </c:ext>
          </c:extLst>
        </c:ser>
        <c:ser>
          <c:idx val="4"/>
          <c:order val="3"/>
          <c:tx>
            <c:strRef>
              <c:f>NPVs!$F$18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NPVs!$B$19:$B$1018</c:f>
              <c:numCache>
                <c:formatCode>0.000%</c:formatCode>
                <c:ptCount val="1000"/>
                <c:pt idx="0" formatCode="0.00%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  <c:pt idx="999">
                  <c:v>1</c:v>
                </c:pt>
              </c:numCache>
            </c:numRef>
          </c:cat>
          <c:val>
            <c:numRef>
              <c:f>NPVs!$F$19:$F$1018</c:f>
              <c:numCache>
                <c:formatCode>General</c:formatCode>
                <c:ptCount val="1000"/>
                <c:pt idx="0">
                  <c:v>-0.79800399301109337</c:v>
                </c:pt>
                <c:pt idx="1">
                  <c:v>-1.5920318883572975</c:v>
                </c:pt>
                <c:pt idx="2">
                  <c:v>-2.3821074357093153</c:v>
                </c:pt>
                <c:pt idx="3">
                  <c:v>-3.1682542194003815</c:v>
                </c:pt>
                <c:pt idx="4">
                  <c:v>-3.9504956597392322</c:v>
                </c:pt>
                <c:pt idx="5">
                  <c:v>-4.7288550143140355</c:v>
                </c:pt>
                <c:pt idx="6">
                  <c:v>-5.5033553792813734</c:v>
                </c:pt>
                <c:pt idx="7">
                  <c:v>-6.2740196906474068</c:v>
                </c:pt>
                <c:pt idx="8">
                  <c:v>-7.0408707255339209</c:v>
                </c:pt>
                <c:pt idx="9">
                  <c:v>-7.8039311034367529</c:v>
                </c:pt>
                <c:pt idx="10">
                  <c:v>-8.5632232874696399</c:v>
                </c:pt>
                <c:pt idx="11">
                  <c:v>-9.3187695855998527</c:v>
                </c:pt>
                <c:pt idx="12">
                  <c:v>-10.07059215187067</c:v>
                </c:pt>
                <c:pt idx="13">
                  <c:v>-10.818712987614759</c:v>
                </c:pt>
                <c:pt idx="14">
                  <c:v>-11.563153942655106</c:v>
                </c:pt>
                <c:pt idx="15">
                  <c:v>-12.303936716497645</c:v>
                </c:pt>
                <c:pt idx="16">
                  <c:v>-13.041082859510198</c:v>
                </c:pt>
                <c:pt idx="17">
                  <c:v>-13.774613774094405</c:v>
                </c:pt>
                <c:pt idx="18">
                  <c:v>-14.504550715844289</c:v>
                </c:pt>
                <c:pt idx="19">
                  <c:v>-15.230914794697156</c:v>
                </c:pt>
                <c:pt idx="20">
                  <c:v>-15.953726976072261</c:v>
                </c:pt>
                <c:pt idx="21">
                  <c:v>-16.67300808200136</c:v>
                </c:pt>
                <c:pt idx="22">
                  <c:v>-17.388778792247109</c:v>
                </c:pt>
                <c:pt idx="23">
                  <c:v>-18.101059645414352</c:v>
                </c:pt>
                <c:pt idx="24">
                  <c:v>-18.809871040048989</c:v>
                </c:pt>
                <c:pt idx="25">
                  <c:v>-19.515233235729397</c:v>
                </c:pt>
                <c:pt idx="26">
                  <c:v>-20.21716635414657</c:v>
                </c:pt>
                <c:pt idx="27">
                  <c:v>-20.915690380176414</c:v>
                </c:pt>
                <c:pt idx="28">
                  <c:v>-21.610825162940984</c:v>
                </c:pt>
                <c:pt idx="29">
                  <c:v>-22.302590416862216</c:v>
                </c:pt>
                <c:pt idx="30">
                  <c:v>-22.991005722704898</c:v>
                </c:pt>
                <c:pt idx="31">
                  <c:v>-23.676090528611809</c:v>
                </c:pt>
                <c:pt idx="32">
                  <c:v>-24.357864151128837</c:v>
                </c:pt>
                <c:pt idx="33">
                  <c:v>-25.036345776222163</c:v>
                </c:pt>
                <c:pt idx="34">
                  <c:v>-25.711554460285527</c:v>
                </c:pt>
                <c:pt idx="35">
                  <c:v>-26.383509131139959</c:v>
                </c:pt>
                <c:pt idx="36">
                  <c:v>-27.052228589023542</c:v>
                </c:pt>
                <c:pt idx="37">
                  <c:v>-27.7177315075742</c:v>
                </c:pt>
                <c:pt idx="38">
                  <c:v>-28.380036434801838</c:v>
                </c:pt>
                <c:pt idx="39">
                  <c:v>-29.039161794054849</c:v>
                </c:pt>
                <c:pt idx="40">
                  <c:v>-29.695125884975113</c:v>
                </c:pt>
                <c:pt idx="41">
                  <c:v>-30.347946884447822</c:v>
                </c:pt>
                <c:pt idx="42">
                  <c:v>-30.997642847540476</c:v>
                </c:pt>
                <c:pt idx="43">
                  <c:v>-31.644231708436337</c:v>
                </c:pt>
                <c:pt idx="44">
                  <c:v>-32.287731281357026</c:v>
                </c:pt>
                <c:pt idx="45">
                  <c:v>-32.928159261480175</c:v>
                </c:pt>
                <c:pt idx="46">
                  <c:v>-33.565533225846281</c:v>
                </c:pt>
                <c:pt idx="47">
                  <c:v>-34.199870634260776</c:v>
                </c:pt>
                <c:pt idx="48">
                  <c:v>-34.831188830185141</c:v>
                </c:pt>
                <c:pt idx="49">
                  <c:v>-35.459505041623601</c:v>
                </c:pt>
                <c:pt idx="50">
                  <c:v>-36.084836381999736</c:v>
                </c:pt>
                <c:pt idx="51">
                  <c:v>-36.707199851027013</c:v>
                </c:pt>
                <c:pt idx="52">
                  <c:v>-37.326612335571042</c:v>
                </c:pt>
                <c:pt idx="53">
                  <c:v>-37.943090610505578</c:v>
                </c:pt>
                <c:pt idx="54">
                  <c:v>-38.556651339559693</c:v>
                </c:pt>
                <c:pt idx="55">
                  <c:v>-39.167311076159422</c:v>
                </c:pt>
                <c:pt idx="56">
                  <c:v>-39.775086264260551</c:v>
                </c:pt>
                <c:pt idx="57">
                  <c:v>-40.379993239176116</c:v>
                </c:pt>
                <c:pt idx="58">
                  <c:v>-40.982048228395172</c:v>
                </c:pt>
                <c:pt idx="59">
                  <c:v>-41.581267352395912</c:v>
                </c:pt>
                <c:pt idx="60">
                  <c:v>-42.177666625451025</c:v>
                </c:pt>
                <c:pt idx="61">
                  <c:v>-42.771261956427054</c:v>
                </c:pt>
                <c:pt idx="62">
                  <c:v>-43.362069149576001</c:v>
                </c:pt>
                <c:pt idx="63">
                  <c:v>-43.950103905321527</c:v>
                </c:pt>
                <c:pt idx="64">
                  <c:v>-44.535381821036623</c:v>
                </c:pt>
                <c:pt idx="65">
                  <c:v>-45.117918391817454</c:v>
                </c:pt>
                <c:pt idx="66">
                  <c:v>-45.697729011247503</c:v>
                </c:pt>
                <c:pt idx="67">
                  <c:v>-46.274828972158332</c:v>
                </c:pt>
                <c:pt idx="68">
                  <c:v>-46.849233467381225</c:v>
                </c:pt>
                <c:pt idx="69">
                  <c:v>-47.420957590494965</c:v>
                </c:pt>
                <c:pt idx="70">
                  <c:v>-47.990016336565219</c:v>
                </c:pt>
                <c:pt idx="71">
                  <c:v>-48.556424602879474</c:v>
                </c:pt>
                <c:pt idx="72">
                  <c:v>-49.120197189674144</c:v>
                </c:pt>
                <c:pt idx="73">
                  <c:v>-49.681348800857705</c:v>
                </c:pt>
                <c:pt idx="74">
                  <c:v>-50.23989404472502</c:v>
                </c:pt>
                <c:pt idx="75">
                  <c:v>-50.795847434668758</c:v>
                </c:pt>
                <c:pt idx="76">
                  <c:v>-51.349223389882098</c:v>
                </c:pt>
                <c:pt idx="77">
                  <c:v>-51.90003623605773</c:v>
                </c:pt>
                <c:pt idx="78">
                  <c:v>-52.448300206079438</c:v>
                </c:pt>
                <c:pt idx="79">
                  <c:v>-52.99402944070934</c:v>
                </c:pt>
                <c:pt idx="80">
                  <c:v>-53.537237989267851</c:v>
                </c:pt>
                <c:pt idx="81">
                  <c:v>-54.077939810309601</c:v>
                </c:pt>
                <c:pt idx="82">
                  <c:v>-54.616148772292462</c:v>
                </c:pt>
                <c:pt idx="83">
                  <c:v>-55.151878654241983</c:v>
                </c:pt>
                <c:pt idx="84">
                  <c:v>-55.685143146409331</c:v>
                </c:pt>
                <c:pt idx="85">
                  <c:v>-56.215955850925042</c:v>
                </c:pt>
                <c:pt idx="86">
                  <c:v>-56.744330282445873</c:v>
                </c:pt>
                <c:pt idx="87">
                  <c:v>-57.270279868798013</c:v>
                </c:pt>
                <c:pt idx="88">
                  <c:v>-57.79381795161305</c:v>
                </c:pt>
                <c:pt idx="89">
                  <c:v>-58.314957786960719</c:v>
                </c:pt>
                <c:pt idx="90">
                  <c:v>-58.833712545974663</c:v>
                </c:pt>
                <c:pt idx="91">
                  <c:v>-59.35009531547442</c:v>
                </c:pt>
                <c:pt idx="92">
                  <c:v>-59.864119098581057</c:v>
                </c:pt>
                <c:pt idx="93">
                  <c:v>-60.375796815329238</c:v>
                </c:pt>
                <c:pt idx="94">
                  <c:v>-60.885141303272377</c:v>
                </c:pt>
                <c:pt idx="95">
                  <c:v>-61.392165318084864</c:v>
                </c:pt>
                <c:pt idx="96">
                  <c:v>-61.896881534157473</c:v>
                </c:pt>
                <c:pt idx="97">
                  <c:v>-62.399302545189784</c:v>
                </c:pt>
                <c:pt idx="98">
                  <c:v>-62.899440864775642</c:v>
                </c:pt>
                <c:pt idx="99">
                  <c:v>-63.397308926985886</c:v>
                </c:pt>
                <c:pt idx="100">
                  <c:v>-63.892919086944715</c:v>
                </c:pt>
                <c:pt idx="101">
                  <c:v>-64.386283621402669</c:v>
                </c:pt>
                <c:pt idx="102">
                  <c:v>-64.877414729303496</c:v>
                </c:pt>
                <c:pt idx="103">
                  <c:v>-65.366324532348017</c:v>
                </c:pt>
                <c:pt idx="104">
                  <c:v>-65.853025075552011</c:v>
                </c:pt>
                <c:pt idx="105">
                  <c:v>-66.337528327800499</c:v>
                </c:pt>
                <c:pt idx="106">
                  <c:v>-66.819846182396844</c:v>
                </c:pt>
                <c:pt idx="107">
                  <c:v>-67.299990457608203</c:v>
                </c:pt>
                <c:pt idx="108">
                  <c:v>-67.777972897205387</c:v>
                </c:pt>
                <c:pt idx="109">
                  <c:v>-68.253805170999982</c:v>
                </c:pt>
                <c:pt idx="110">
                  <c:v>-68.727498875375147</c:v>
                </c:pt>
                <c:pt idx="111">
                  <c:v>-69.199065533814093</c:v>
                </c:pt>
                <c:pt idx="112">
                  <c:v>-69.668516597422581</c:v>
                </c:pt>
                <c:pt idx="113">
                  <c:v>-70.135863445448763</c:v>
                </c:pt>
                <c:pt idx="114">
                  <c:v>-70.601117385797295</c:v>
                </c:pt>
                <c:pt idx="115">
                  <c:v>-71.064289655540705</c:v>
                </c:pt>
                <c:pt idx="116">
                  <c:v>-71.525391421425468</c:v>
                </c:pt>
                <c:pt idx="117">
                  <c:v>-71.984433780375127</c:v>
                </c:pt>
                <c:pt idx="118">
                  <c:v>-72.441427759988429</c:v>
                </c:pt>
                <c:pt idx="119">
                  <c:v>-72.896384319033771</c:v>
                </c:pt>
                <c:pt idx="120">
                  <c:v>-73.349314347939952</c:v>
                </c:pt>
                <c:pt idx="121">
                  <c:v>-73.800228669282887</c:v>
                </c:pt>
                <c:pt idx="122">
                  <c:v>-74.249138038268157</c:v>
                </c:pt>
                <c:pt idx="123">
                  <c:v>-74.696053143209738</c:v>
                </c:pt>
                <c:pt idx="124">
                  <c:v>-75.140984606005176</c:v>
                </c:pt>
                <c:pt idx="125">
                  <c:v>-75.583942982607113</c:v>
                </c:pt>
                <c:pt idx="126">
                  <c:v>-76.024938763490454</c:v>
                </c:pt>
                <c:pt idx="127">
                  <c:v>-76.463982374116014</c:v>
                </c:pt>
                <c:pt idx="128">
                  <c:v>-76.901084175390821</c:v>
                </c:pt>
                <c:pt idx="129">
                  <c:v>-77.336254464124636</c:v>
                </c:pt>
                <c:pt idx="130">
                  <c:v>-77.769503473482558</c:v>
                </c:pt>
                <c:pt idx="131">
                  <c:v>-78.200841373434088</c:v>
                </c:pt>
                <c:pt idx="132">
                  <c:v>-78.630278271198861</c:v>
                </c:pt>
                <c:pt idx="133">
                  <c:v>-79.057824211688995</c:v>
                </c:pt>
                <c:pt idx="134">
                  <c:v>-79.483489177947433</c:v>
                </c:pt>
                <c:pt idx="135">
                  <c:v>-79.907283091583011</c:v>
                </c:pt>
                <c:pt idx="136">
                  <c:v>-80.329215813202154</c:v>
                </c:pt>
                <c:pt idx="137">
                  <c:v>-80.749297142837406</c:v>
                </c:pt>
                <c:pt idx="138">
                  <c:v>-81.167536820372163</c:v>
                </c:pt>
                <c:pt idx="139">
                  <c:v>-81.58394452596211</c:v>
                </c:pt>
                <c:pt idx="140">
                  <c:v>-81.998529880453361</c:v>
                </c:pt>
                <c:pt idx="141">
                  <c:v>-82.411302445797887</c:v>
                </c:pt>
                <c:pt idx="142">
                  <c:v>-82.822271725464773</c:v>
                </c:pt>
                <c:pt idx="143">
                  <c:v>-83.231447164848532</c:v>
                </c:pt>
                <c:pt idx="144">
                  <c:v>-83.638838151674946</c:v>
                </c:pt>
                <c:pt idx="145">
                  <c:v>-84.044454016402184</c:v>
                </c:pt>
                <c:pt idx="146">
                  <c:v>-84.448304032620754</c:v>
                </c:pt>
                <c:pt idx="147">
                  <c:v>-84.850397417448349</c:v>
                </c:pt>
                <c:pt idx="148">
                  <c:v>-85.250743331923232</c:v>
                </c:pt>
                <c:pt idx="149">
                  <c:v>-85.649350881393332</c:v>
                </c:pt>
                <c:pt idx="150">
                  <c:v>-86.046229115903216</c:v>
                </c:pt>
                <c:pt idx="151">
                  <c:v>-86.441387030577204</c:v>
                </c:pt>
                <c:pt idx="152">
                  <c:v>-86.834833566000512</c:v>
                </c:pt>
                <c:pt idx="153">
                  <c:v>-87.226577608596173</c:v>
                </c:pt>
                <c:pt idx="154">
                  <c:v>-87.616627991000342</c:v>
                </c:pt>
                <c:pt idx="155">
                  <c:v>-88.004993492433528</c:v>
                </c:pt>
                <c:pt idx="156">
                  <c:v>-88.391682839069858</c:v>
                </c:pt>
                <c:pt idx="157">
                  <c:v>-88.776704704402675</c:v>
                </c:pt>
                <c:pt idx="158">
                  <c:v>-89.160067709608157</c:v>
                </c:pt>
                <c:pt idx="159">
                  <c:v>-89.541780423905053</c:v>
                </c:pt>
                <c:pt idx="160">
                  <c:v>-89.921851364912996</c:v>
                </c:pt>
                <c:pt idx="161">
                  <c:v>-90.300288999006511</c:v>
                </c:pt>
                <c:pt idx="162">
                  <c:v>-90.67710174166784</c:v>
                </c:pt>
                <c:pt idx="163">
                  <c:v>-91.052297957835407</c:v>
                </c:pt>
                <c:pt idx="164">
                  <c:v>-91.425885962251314</c:v>
                </c:pt>
                <c:pt idx="165">
                  <c:v>-91.797874019804539</c:v>
                </c:pt>
                <c:pt idx="166">
                  <c:v>-92.168270345873012</c:v>
                </c:pt>
                <c:pt idx="167">
                  <c:v>-92.537083106661413</c:v>
                </c:pt>
                <c:pt idx="168">
                  <c:v>-92.904320419538166</c:v>
                </c:pt>
                <c:pt idx="169">
                  <c:v>-93.269990353368144</c:v>
                </c:pt>
                <c:pt idx="170">
                  <c:v>-93.634100928844305</c:v>
                </c:pt>
                <c:pt idx="171">
                  <c:v>-93.99666011881537</c:v>
                </c:pt>
                <c:pt idx="172">
                  <c:v>-94.357675848612431</c:v>
                </c:pt>
                <c:pt idx="173">
                  <c:v>-94.717155996371702</c:v>
                </c:pt>
                <c:pt idx="174">
                  <c:v>-95.075108393356075</c:v>
                </c:pt>
                <c:pt idx="175">
                  <c:v>-95.431540824272759</c:v>
                </c:pt>
                <c:pt idx="176">
                  <c:v>-95.786461027590306</c:v>
                </c:pt>
                <c:pt idx="177">
                  <c:v>-96.139876695851271</c:v>
                </c:pt>
                <c:pt idx="178">
                  <c:v>-96.491795475984148</c:v>
                </c:pt>
                <c:pt idx="179">
                  <c:v>-96.842224969611763</c:v>
                </c:pt>
                <c:pt idx="180">
                  <c:v>-97.191172733358201</c:v>
                </c:pt>
                <c:pt idx="181">
                  <c:v>-97.538646279152445</c:v>
                </c:pt>
                <c:pt idx="182">
                  <c:v>-97.884653074530917</c:v>
                </c:pt>
                <c:pt idx="183">
                  <c:v>-98.22920054293624</c:v>
                </c:pt>
                <c:pt idx="184">
                  <c:v>-98.572296064015447</c:v>
                </c:pt>
                <c:pt idx="185">
                  <c:v>-98.91394697391415</c:v>
                </c:pt>
                <c:pt idx="186">
                  <c:v>-99.254160565570061</c:v>
                </c:pt>
                <c:pt idx="187">
                  <c:v>-99.592944089003012</c:v>
                </c:pt>
                <c:pt idx="188">
                  <c:v>-99.930304751603927</c:v>
                </c:pt>
                <c:pt idx="189">
                  <c:v>-100.26624971842045</c:v>
                </c:pt>
                <c:pt idx="190">
                  <c:v>-100.60078611244158</c:v>
                </c:pt>
                <c:pt idx="191">
                  <c:v>-100.93392101487908</c:v>
                </c:pt>
                <c:pt idx="192">
                  <c:v>-101.26566146544774</c:v>
                </c:pt>
                <c:pt idx="193">
                  <c:v>-101.59601446264254</c:v>
                </c:pt>
                <c:pt idx="194">
                  <c:v>-101.92498696401485</c:v>
                </c:pt>
                <c:pt idx="195">
                  <c:v>-102.25258588644542</c:v>
                </c:pt>
                <c:pt idx="196">
                  <c:v>-102.57881810641622</c:v>
                </c:pt>
                <c:pt idx="197">
                  <c:v>-102.90369046027963</c:v>
                </c:pt>
                <c:pt idx="198">
                  <c:v>-103.22720974452614</c:v>
                </c:pt>
                <c:pt idx="199">
                  <c:v>-103.54938271604938</c:v>
                </c:pt>
                <c:pt idx="200">
                  <c:v>-103.87021609241002</c:v>
                </c:pt>
                <c:pt idx="201">
                  <c:v>-104.18971655209666</c:v>
                </c:pt>
                <c:pt idx="202">
                  <c:v>-104.50789073478599</c:v>
                </c:pt>
                <c:pt idx="203">
                  <c:v>-104.82474524159969</c:v>
                </c:pt>
                <c:pt idx="204">
                  <c:v>-105.14028663536075</c:v>
                </c:pt>
                <c:pt idx="205">
                  <c:v>-105.45452144084651</c:v>
                </c:pt>
                <c:pt idx="206">
                  <c:v>-105.76745614504118</c:v>
                </c:pt>
                <c:pt idx="207">
                  <c:v>-106.07909719738515</c:v>
                </c:pt>
                <c:pt idx="208">
                  <c:v>-106.38945101002386</c:v>
                </c:pt>
                <c:pt idx="209">
                  <c:v>-106.69852395805331</c:v>
                </c:pt>
                <c:pt idx="210">
                  <c:v>-107.00632237976517</c:v>
                </c:pt>
                <c:pt idx="211">
                  <c:v>-107.31285257688887</c:v>
                </c:pt>
                <c:pt idx="212">
                  <c:v>-107.61812081483285</c:v>
                </c:pt>
                <c:pt idx="213">
                  <c:v>-107.92213332292334</c:v>
                </c:pt>
                <c:pt idx="214">
                  <c:v>-108.22489629464189</c:v>
                </c:pt>
                <c:pt idx="215">
                  <c:v>-108.52641588786055</c:v>
                </c:pt>
                <c:pt idx="216">
                  <c:v>-108.82669822507606</c:v>
                </c:pt>
                <c:pt idx="217">
                  <c:v>-109.12574939364158</c:v>
                </c:pt>
                <c:pt idx="218">
                  <c:v>-109.42357544599737</c:v>
                </c:pt>
                <c:pt idx="219">
                  <c:v>-109.72018239989899</c:v>
                </c:pt>
                <c:pt idx="220">
                  <c:v>-110.0155762386449</c:v>
                </c:pt>
                <c:pt idx="221">
                  <c:v>-110.30976291130102</c:v>
                </c:pt>
                <c:pt idx="222">
                  <c:v>-110.6027483329252</c:v>
                </c:pt>
                <c:pt idx="223">
                  <c:v>-110.89453838478836</c:v>
                </c:pt>
                <c:pt idx="224">
                  <c:v>-111.1851389145957</c:v>
                </c:pt>
                <c:pt idx="225">
                  <c:v>-111.47455573670469</c:v>
                </c:pt>
                <c:pt idx="226">
                  <c:v>-111.76279463234299</c:v>
                </c:pt>
                <c:pt idx="227">
                  <c:v>-112.04986134982327</c:v>
                </c:pt>
                <c:pt idx="228">
                  <c:v>-112.33576160475783</c:v>
                </c:pt>
                <c:pt idx="229">
                  <c:v>-112.62050108027056</c:v>
                </c:pt>
                <c:pt idx="230">
                  <c:v>-112.90408542720817</c:v>
                </c:pt>
                <c:pt idx="231">
                  <c:v>-113.18652026434927</c:v>
                </c:pt>
                <c:pt idx="232">
                  <c:v>-113.46781117861232</c:v>
                </c:pt>
                <c:pt idx="233">
                  <c:v>-113.74796372526188</c:v>
                </c:pt>
                <c:pt idx="234">
                  <c:v>-114.02698342811344</c:v>
                </c:pt>
                <c:pt idx="235">
                  <c:v>-114.30487577973679</c:v>
                </c:pt>
                <c:pt idx="236">
                  <c:v>-114.58164624165759</c:v>
                </c:pt>
                <c:pt idx="237">
                  <c:v>-114.85730024455793</c:v>
                </c:pt>
                <c:pt idx="238">
                  <c:v>-115.13184318847537</c:v>
                </c:pt>
                <c:pt idx="239">
                  <c:v>-115.40528044300022</c:v>
                </c:pt>
                <c:pt idx="240">
                  <c:v>-115.67761734747148</c:v>
                </c:pt>
                <c:pt idx="241">
                  <c:v>-115.94885921117167</c:v>
                </c:pt>
                <c:pt idx="242">
                  <c:v>-116.21901131352</c:v>
                </c:pt>
                <c:pt idx="243">
                  <c:v>-116.48807890426424</c:v>
                </c:pt>
                <c:pt idx="244">
                  <c:v>-116.75606720367085</c:v>
                </c:pt>
                <c:pt idx="245">
                  <c:v>-117.02298140271435</c:v>
                </c:pt>
                <c:pt idx="246">
                  <c:v>-117.28882666326494</c:v>
                </c:pt>
                <c:pt idx="247">
                  <c:v>-117.55360811827489</c:v>
                </c:pt>
                <c:pt idx="248">
                  <c:v>-117.81733087196331</c:v>
                </c:pt>
                <c:pt idx="249">
                  <c:v>-118.08</c:v>
                </c:pt>
                <c:pt idx="250">
                  <c:v>-118.34162054968786</c:v>
                </c:pt>
                <c:pt idx="251">
                  <c:v>-118.60219754014392</c:v>
                </c:pt>
                <c:pt idx="252">
                  <c:v>-118.86173596247879</c:v>
                </c:pt>
                <c:pt idx="253">
                  <c:v>-119.12024077997545</c:v>
                </c:pt>
                <c:pt idx="254">
                  <c:v>-119.37771692826637</c:v>
                </c:pt>
                <c:pt idx="255">
                  <c:v>-119.63416931550935</c:v>
                </c:pt>
                <c:pt idx="256">
                  <c:v>-119.88960282256213</c:v>
                </c:pt>
                <c:pt idx="257">
                  <c:v>-120.14402230315577</c:v>
                </c:pt>
                <c:pt idx="258">
                  <c:v>-120.39743258406702</c:v>
                </c:pt>
                <c:pt idx="259">
                  <c:v>-120.64983846528916</c:v>
                </c:pt>
                <c:pt idx="260">
                  <c:v>-120.90124472020155</c:v>
                </c:pt>
                <c:pt idx="261">
                  <c:v>-121.15165609573822</c:v>
                </c:pt>
                <c:pt idx="262">
                  <c:v>-121.40107731255543</c:v>
                </c:pt>
                <c:pt idx="263">
                  <c:v>-121.64951306519748</c:v>
                </c:pt>
                <c:pt idx="264">
                  <c:v>-121.89696802226172</c:v>
                </c:pt>
                <c:pt idx="265">
                  <c:v>-122.14344682656237</c:v>
                </c:pt>
                <c:pt idx="266">
                  <c:v>-122.38895409529312</c:v>
                </c:pt>
                <c:pt idx="267">
                  <c:v>-122.63349442018864</c:v>
                </c:pt>
                <c:pt idx="268">
                  <c:v>-122.8770723676847</c:v>
                </c:pt>
                <c:pt idx="269">
                  <c:v>-123.11969247907743</c:v>
                </c:pt>
                <c:pt idx="270">
                  <c:v>-123.36135927068159</c:v>
                </c:pt>
                <c:pt idx="271">
                  <c:v>-123.60207723398722</c:v>
                </c:pt>
                <c:pt idx="272">
                  <c:v>-123.84185083581548</c:v>
                </c:pt>
                <c:pt idx="273">
                  <c:v>-124.08068451847346</c:v>
                </c:pt>
                <c:pt idx="274">
                  <c:v>-124.31858269990794</c:v>
                </c:pt>
                <c:pt idx="275">
                  <c:v>-124.55554977385771</c:v>
                </c:pt>
                <c:pt idx="276">
                  <c:v>-124.79159011000512</c:v>
                </c:pt>
                <c:pt idx="277">
                  <c:v>-125.02670805412647</c:v>
                </c:pt>
                <c:pt idx="278">
                  <c:v>-125.26090792824156</c:v>
                </c:pt>
                <c:pt idx="279">
                  <c:v>-125.49419403076172</c:v>
                </c:pt>
                <c:pt idx="280">
                  <c:v>-125.72657063663723</c:v>
                </c:pt>
                <c:pt idx="281">
                  <c:v>-125.95804199750344</c:v>
                </c:pt>
                <c:pt idx="282">
                  <c:v>-126.18861234182617</c:v>
                </c:pt>
                <c:pt idx="283">
                  <c:v>-126.4182858750458</c:v>
                </c:pt>
                <c:pt idx="284">
                  <c:v>-126.64706677972023</c:v>
                </c:pt>
                <c:pt idx="285">
                  <c:v>-126.87495921566753</c:v>
                </c:pt>
                <c:pt idx="286">
                  <c:v>-127.10196732010664</c:v>
                </c:pt>
                <c:pt idx="287">
                  <c:v>-127.32809520779801</c:v>
                </c:pt>
                <c:pt idx="288">
                  <c:v>-127.55334697118234</c:v>
                </c:pt>
                <c:pt idx="289">
                  <c:v>-127.77772668051942</c:v>
                </c:pt>
                <c:pt idx="290">
                  <c:v>-128.00123838402482</c:v>
                </c:pt>
                <c:pt idx="291">
                  <c:v>-128.22388610800672</c:v>
                </c:pt>
                <c:pt idx="292">
                  <c:v>-128.445673857001</c:v>
                </c:pt>
                <c:pt idx="293">
                  <c:v>-128.66660561390574</c:v>
                </c:pt>
                <c:pt idx="294">
                  <c:v>-128.88668534011489</c:v>
                </c:pt>
                <c:pt idx="295">
                  <c:v>-129.1059169756507</c:v>
                </c:pt>
                <c:pt idx="296">
                  <c:v>-129.32430443929536</c:v>
                </c:pt>
                <c:pt idx="297">
                  <c:v>-129.54185162872193</c:v>
                </c:pt>
                <c:pt idx="298">
                  <c:v>-129.758562420624</c:v>
                </c:pt>
                <c:pt idx="299">
                  <c:v>-129.97444067084487</c:v>
                </c:pt>
                <c:pt idx="300">
                  <c:v>-130.1894902145053</c:v>
                </c:pt>
                <c:pt idx="301">
                  <c:v>-130.40371486613105</c:v>
                </c:pt>
                <c:pt idx="302">
                  <c:v>-130.6171184197789</c:v>
                </c:pt>
                <c:pt idx="303">
                  <c:v>-130.82970464916224</c:v>
                </c:pt>
                <c:pt idx="304">
                  <c:v>-131.04147730777549</c:v>
                </c:pt>
                <c:pt idx="305">
                  <c:v>-131.25244012901808</c:v>
                </c:pt>
                <c:pt idx="306">
                  <c:v>-131.46259682631694</c:v>
                </c:pt>
                <c:pt idx="307">
                  <c:v>-131.67195109324882</c:v>
                </c:pt>
                <c:pt idx="308">
                  <c:v>-131.88050660366127</c:v>
                </c:pt>
                <c:pt idx="309">
                  <c:v>-132.08826701179322</c:v>
                </c:pt>
                <c:pt idx="310">
                  <c:v>-132.29523595239414</c:v>
                </c:pt>
                <c:pt idx="311">
                  <c:v>-132.50141704084317</c:v>
                </c:pt>
                <c:pt idx="312">
                  <c:v>-132.70681387326658</c:v>
                </c:pt>
                <c:pt idx="313">
                  <c:v>-132.9114300266553</c:v>
                </c:pt>
                <c:pt idx="314">
                  <c:v>-133.11526905898063</c:v>
                </c:pt>
                <c:pt idx="315">
                  <c:v>-133.31833450931043</c:v>
                </c:pt>
                <c:pt idx="316">
                  <c:v>-133.52062989792313</c:v>
                </c:pt>
                <c:pt idx="317">
                  <c:v>-133.72215872642221</c:v>
                </c:pt>
                <c:pt idx="318">
                  <c:v>-133.92292447784888</c:v>
                </c:pt>
                <c:pt idx="319">
                  <c:v>-134.12293061679489</c:v>
                </c:pt>
                <c:pt idx="320">
                  <c:v>-134.32218058951366</c:v>
                </c:pt>
                <c:pt idx="321">
                  <c:v>-134.52067782403162</c:v>
                </c:pt>
                <c:pt idx="322">
                  <c:v>-134.71842573025776</c:v>
                </c:pt>
                <c:pt idx="323">
                  <c:v>-134.91542770009366</c:v>
                </c:pt>
                <c:pt idx="324">
                  <c:v>-135.11168710754134</c:v>
                </c:pt>
                <c:pt idx="325">
                  <c:v>-135.30720730881174</c:v>
                </c:pt>
                <c:pt idx="326">
                  <c:v>-135.50199164243142</c:v>
                </c:pt>
                <c:pt idx="327">
                  <c:v>-135.69604342934934</c:v>
                </c:pt>
                <c:pt idx="328">
                  <c:v>-135.88936597304217</c:v>
                </c:pt>
                <c:pt idx="329">
                  <c:v>-136.08196255961968</c:v>
                </c:pt>
                <c:pt idx="330">
                  <c:v>-136.27383645792864</c:v>
                </c:pt>
                <c:pt idx="331">
                  <c:v>-136.46499091965663</c:v>
                </c:pt>
                <c:pt idx="332">
                  <c:v>-136.65542917943469</c:v>
                </c:pt>
                <c:pt idx="333">
                  <c:v>-136.8451544549398</c:v>
                </c:pt>
                <c:pt idx="334">
                  <c:v>-137.03416994699603</c:v>
                </c:pt>
                <c:pt idx="335">
                  <c:v>-137.22247883967557</c:v>
                </c:pt>
                <c:pt idx="336">
                  <c:v>-137.41008430039869</c:v>
                </c:pt>
                <c:pt idx="337">
                  <c:v>-137.59698948003341</c:v>
                </c:pt>
                <c:pt idx="338">
                  <c:v>-137.78319751299401</c:v>
                </c:pt>
                <c:pt idx="339">
                  <c:v>-137.96871151733944</c:v>
                </c:pt>
                <c:pt idx="340">
                  <c:v>-138.15353459487042</c:v>
                </c:pt>
                <c:pt idx="341">
                  <c:v>-138.33766983122672</c:v>
                </c:pt>
                <c:pt idx="342">
                  <c:v>-138.52112029598283</c:v>
                </c:pt>
                <c:pt idx="343">
                  <c:v>-138.70388904274387</c:v>
                </c:pt>
                <c:pt idx="344">
                  <c:v>-138.88597910924031</c:v>
                </c:pt>
                <c:pt idx="345">
                  <c:v>-139.06739351742212</c:v>
                </c:pt>
                <c:pt idx="346">
                  <c:v>-139.24813527355249</c:v>
                </c:pt>
                <c:pt idx="347">
                  <c:v>-139.42820736830095</c:v>
                </c:pt>
                <c:pt idx="348">
                  <c:v>-139.60761277683551</c:v>
                </c:pt>
                <c:pt idx="349">
                  <c:v>-139.78635445891456</c:v>
                </c:pt>
                <c:pt idx="350">
                  <c:v>-139.96443535897788</c:v>
                </c:pt>
                <c:pt idx="351">
                  <c:v>-140.14185840623745</c:v>
                </c:pt>
                <c:pt idx="352">
                  <c:v>-140.31862651476712</c:v>
                </c:pt>
                <c:pt idx="353">
                  <c:v>-140.49474258359209</c:v>
                </c:pt>
                <c:pt idx="354">
                  <c:v>-140.67020949677752</c:v>
                </c:pt>
                <c:pt idx="355">
                  <c:v>-140.84503012351689</c:v>
                </c:pt>
                <c:pt idx="356">
                  <c:v>-141.01920731821957</c:v>
                </c:pt>
                <c:pt idx="357">
                  <c:v>-141.19274392059756</c:v>
                </c:pt>
                <c:pt idx="358">
                  <c:v>-141.36564275575211</c:v>
                </c:pt>
                <c:pt idx="359">
                  <c:v>-141.53790663425963</c:v>
                </c:pt>
                <c:pt idx="360">
                  <c:v>-141.70953835225686</c:v>
                </c:pt>
                <c:pt idx="361">
                  <c:v>-141.8805406915256</c:v>
                </c:pt>
                <c:pt idx="362">
                  <c:v>-142.05091641957682</c:v>
                </c:pt>
                <c:pt idx="363">
                  <c:v>-142.22066828973442</c:v>
                </c:pt>
                <c:pt idx="364">
                  <c:v>-142.38979904121828</c:v>
                </c:pt>
                <c:pt idx="365">
                  <c:v>-142.5583113992266</c:v>
                </c:pt>
                <c:pt idx="366">
                  <c:v>-142.72620807501784</c:v>
                </c:pt>
                <c:pt idx="367">
                  <c:v>-142.89349176599248</c:v>
                </c:pt>
                <c:pt idx="368">
                  <c:v>-143.06016515577369</c:v>
                </c:pt>
                <c:pt idx="369">
                  <c:v>-143.22623091428756</c:v>
                </c:pt>
                <c:pt idx="370">
                  <c:v>-143.39169169784313</c:v>
                </c:pt>
                <c:pt idx="371">
                  <c:v>-143.55655014921177</c:v>
                </c:pt>
                <c:pt idx="372">
                  <c:v>-143.72080889770584</c:v>
                </c:pt>
                <c:pt idx="373">
                  <c:v>-143.88447055925684</c:v>
                </c:pt>
                <c:pt idx="374">
                  <c:v>-144.04753773649341</c:v>
                </c:pt>
                <c:pt idx="375">
                  <c:v>-144.21001301881859</c:v>
                </c:pt>
                <c:pt idx="376">
                  <c:v>-144.37189898248639</c:v>
                </c:pt>
                <c:pt idx="377">
                  <c:v>-144.53319819067818</c:v>
                </c:pt>
                <c:pt idx="378">
                  <c:v>-144.69391319357834</c:v>
                </c:pt>
                <c:pt idx="379">
                  <c:v>-144.85404652844971</c:v>
                </c:pt>
                <c:pt idx="380">
                  <c:v>-145.01360071970822</c:v>
                </c:pt>
                <c:pt idx="381">
                  <c:v>-145.17257827899707</c:v>
                </c:pt>
                <c:pt idx="382">
                  <c:v>-145.33098170526077</c:v>
                </c:pt>
                <c:pt idx="383">
                  <c:v>-145.48881348481837</c:v>
                </c:pt>
                <c:pt idx="384">
                  <c:v>-145.6460760914363</c:v>
                </c:pt>
                <c:pt idx="385">
                  <c:v>-145.80277198640064</c:v>
                </c:pt>
                <c:pt idx="386">
                  <c:v>-145.9589036185892</c:v>
                </c:pt>
                <c:pt idx="387">
                  <c:v>-146.11447342454289</c:v>
                </c:pt>
                <c:pt idx="388">
                  <c:v>-146.26948382853675</c:v>
                </c:pt>
                <c:pt idx="389">
                  <c:v>-146.42393724265025</c:v>
                </c:pt>
                <c:pt idx="390">
                  <c:v>-146.57783606683762</c:v>
                </c:pt>
                <c:pt idx="391">
                  <c:v>-146.73118268899742</c:v>
                </c:pt>
                <c:pt idx="392">
                  <c:v>-146.88397948504155</c:v>
                </c:pt>
                <c:pt idx="393">
                  <c:v>-147.03622881896408</c:v>
                </c:pt>
                <c:pt idx="394">
                  <c:v>-147.18793304290944</c:v>
                </c:pt>
                <c:pt idx="395">
                  <c:v>-147.33909449724044</c:v>
                </c:pt>
                <c:pt idx="396">
                  <c:v>-147.48971551060546</c:v>
                </c:pt>
                <c:pt idx="397">
                  <c:v>-147.63979840000547</c:v>
                </c:pt>
                <c:pt idx="398">
                  <c:v>-147.78934547086055</c:v>
                </c:pt>
                <c:pt idx="399">
                  <c:v>-147.93835901707621</c:v>
                </c:pt>
                <c:pt idx="400">
                  <c:v>-148.08684132110869</c:v>
                </c:pt>
                <c:pt idx="401">
                  <c:v>-148.23479465403054</c:v>
                </c:pt>
                <c:pt idx="402">
                  <c:v>-148.38222127559521</c:v>
                </c:pt>
                <c:pt idx="403">
                  <c:v>-148.52912343430177</c:v>
                </c:pt>
                <c:pt idx="404">
                  <c:v>-148.6755033674587</c:v>
                </c:pt>
                <c:pt idx="405">
                  <c:v>-148.82136330124752</c:v>
                </c:pt>
                <c:pt idx="406">
                  <c:v>-148.96670545078598</c:v>
                </c:pt>
                <c:pt idx="407">
                  <c:v>-149.11153202019105</c:v>
                </c:pt>
                <c:pt idx="408">
                  <c:v>-149.2558452026411</c:v>
                </c:pt>
                <c:pt idx="409">
                  <c:v>-149.39964718043791</c:v>
                </c:pt>
                <c:pt idx="410">
                  <c:v>-149.54294012506838</c:v>
                </c:pt>
                <c:pt idx="411">
                  <c:v>-149.68572619726564</c:v>
                </c:pt>
                <c:pt idx="412">
                  <c:v>-149.82800754707</c:v>
                </c:pt>
                <c:pt idx="413">
                  <c:v>-149.96978631388919</c:v>
                </c:pt>
                <c:pt idx="414">
                  <c:v>-150.11106462655857</c:v>
                </c:pt>
                <c:pt idx="415">
                  <c:v>-150.25184460340074</c:v>
                </c:pt>
                <c:pt idx="416">
                  <c:v>-150.39212835228483</c:v>
                </c:pt>
                <c:pt idx="417">
                  <c:v>-150.53191797068538</c:v>
                </c:pt>
                <c:pt idx="418">
                  <c:v>-150.67121554574101</c:v>
                </c:pt>
                <c:pt idx="419">
                  <c:v>-150.81002315431238</c:v>
                </c:pt>
                <c:pt idx="420">
                  <c:v>-150.94834286304021</c:v>
                </c:pt>
                <c:pt idx="421">
                  <c:v>-151.08617672840251</c:v>
                </c:pt>
                <c:pt idx="422">
                  <c:v>-151.22352679677186</c:v>
                </c:pt>
                <c:pt idx="423">
                  <c:v>-151.36039510447196</c:v>
                </c:pt>
                <c:pt idx="424">
                  <c:v>-151.49678367783406</c:v>
                </c:pt>
                <c:pt idx="425">
                  <c:v>-151.63269453325293</c:v>
                </c:pt>
                <c:pt idx="426">
                  <c:v>-151.76812967724257</c:v>
                </c:pt>
                <c:pt idx="427">
                  <c:v>-151.90309110649133</c:v>
                </c:pt>
                <c:pt idx="428">
                  <c:v>-152.03758080791721</c:v>
                </c:pt>
                <c:pt idx="429">
                  <c:v>-152.17160075872198</c:v>
                </c:pt>
                <c:pt idx="430">
                  <c:v>-152.30515292644591</c:v>
                </c:pt>
                <c:pt idx="431">
                  <c:v>-152.43823926902138</c:v>
                </c:pt>
                <c:pt idx="432">
                  <c:v>-152.57086173482656</c:v>
                </c:pt>
                <c:pt idx="433">
                  <c:v>-152.70302226273861</c:v>
                </c:pt>
                <c:pt idx="434">
                  <c:v>-152.83472278218687</c:v>
                </c:pt>
                <c:pt idx="435">
                  <c:v>-152.96596521320487</c:v>
                </c:pt>
                <c:pt idx="436">
                  <c:v>-153.0967514664832</c:v>
                </c:pt>
                <c:pt idx="437">
                  <c:v>-153.22708344342095</c:v>
                </c:pt>
                <c:pt idx="438">
                  <c:v>-153.35696303617769</c:v>
                </c:pt>
                <c:pt idx="439">
                  <c:v>-153.48639212772443</c:v>
                </c:pt>
                <c:pt idx="440">
                  <c:v>-153.61537259189481</c:v>
                </c:pt>
                <c:pt idx="441">
                  <c:v>-153.7439062934356</c:v>
                </c:pt>
                <c:pt idx="442">
                  <c:v>-153.87199508805713</c:v>
                </c:pt>
                <c:pt idx="443">
                  <c:v>-153.99964082248317</c:v>
                </c:pt>
                <c:pt idx="444">
                  <c:v>-154.12684533450079</c:v>
                </c:pt>
                <c:pt idx="445">
                  <c:v>-154.25361045300963</c:v>
                </c:pt>
                <c:pt idx="446">
                  <c:v>-154.379937998071</c:v>
                </c:pt>
                <c:pt idx="447">
                  <c:v>-154.50582978095673</c:v>
                </c:pt>
                <c:pt idx="448">
                  <c:v>-154.63128760419761</c:v>
                </c:pt>
                <c:pt idx="449">
                  <c:v>-154.7563132616315</c:v>
                </c:pt>
                <c:pt idx="450">
                  <c:v>-154.88090853845134</c:v>
                </c:pt>
                <c:pt idx="451">
                  <c:v>-155.00507521125257</c:v>
                </c:pt>
                <c:pt idx="452">
                  <c:v>-155.12881504808058</c:v>
                </c:pt>
                <c:pt idx="453">
                  <c:v>-155.25212980847755</c:v>
                </c:pt>
                <c:pt idx="454">
                  <c:v>-155.3750212435294</c:v>
                </c:pt>
                <c:pt idx="455">
                  <c:v>-155.49749109591181</c:v>
                </c:pt>
                <c:pt idx="456">
                  <c:v>-155.61954109993678</c:v>
                </c:pt>
                <c:pt idx="457">
                  <c:v>-155.74117298159811</c:v>
                </c:pt>
                <c:pt idx="458">
                  <c:v>-155.86238845861732</c:v>
                </c:pt>
                <c:pt idx="459">
                  <c:v>-155.98318924048851</c:v>
                </c:pt>
                <c:pt idx="460">
                  <c:v>-156.10357702852383</c:v>
                </c:pt>
                <c:pt idx="461">
                  <c:v>-156.22355351589772</c:v>
                </c:pt>
                <c:pt idx="462">
                  <c:v>-156.3431203876919</c:v>
                </c:pt>
                <c:pt idx="463">
                  <c:v>-156.46227932093893</c:v>
                </c:pt>
                <c:pt idx="464">
                  <c:v>-156.58103198466679</c:v>
                </c:pt>
                <c:pt idx="465">
                  <c:v>-156.6993800399419</c:v>
                </c:pt>
                <c:pt idx="466">
                  <c:v>-156.8173251399129</c:v>
                </c:pt>
                <c:pt idx="467">
                  <c:v>-156.93486892985362</c:v>
                </c:pt>
                <c:pt idx="468">
                  <c:v>-157.05201304720586</c:v>
                </c:pt>
                <c:pt idx="469">
                  <c:v>-157.16875912162214</c:v>
                </c:pt>
                <c:pt idx="470">
                  <c:v>-157.28510877500781</c:v>
                </c:pt>
                <c:pt idx="471">
                  <c:v>-157.40106362156322</c:v>
                </c:pt>
                <c:pt idx="472">
                  <c:v>-157.51662526782559</c:v>
                </c:pt>
                <c:pt idx="473">
                  <c:v>-157.63179531271049</c:v>
                </c:pt>
                <c:pt idx="474">
                  <c:v>-157.74657534755301</c:v>
                </c:pt>
                <c:pt idx="475">
                  <c:v>-157.86096695614901</c:v>
                </c:pt>
                <c:pt idx="476">
                  <c:v>-157.97497171479586</c:v>
                </c:pt>
                <c:pt idx="477">
                  <c:v>-158.0885911923329</c:v>
                </c:pt>
                <c:pt idx="478">
                  <c:v>-158.20182695018184</c:v>
                </c:pt>
                <c:pt idx="479">
                  <c:v>-158.3146805423867</c:v>
                </c:pt>
                <c:pt idx="480">
                  <c:v>-158.42715351565377</c:v>
                </c:pt>
                <c:pt idx="481">
                  <c:v>-158.53924740939115</c:v>
                </c:pt>
                <c:pt idx="482">
                  <c:v>-158.65096375574785</c:v>
                </c:pt>
                <c:pt idx="483">
                  <c:v>-158.76230407965323</c:v>
                </c:pt>
                <c:pt idx="484">
                  <c:v>-158.87326989885563</c:v>
                </c:pt>
                <c:pt idx="485">
                  <c:v>-158.98386272396107</c:v>
                </c:pt>
                <c:pt idx="486">
                  <c:v>-159.09408405847157</c:v>
                </c:pt>
                <c:pt idx="487">
                  <c:v>-159.2039353988234</c:v>
                </c:pt>
                <c:pt idx="488">
                  <c:v>-159.31341823442497</c:v>
                </c:pt>
                <c:pt idx="489">
                  <c:v>-159.42253404769448</c:v>
                </c:pt>
                <c:pt idx="490">
                  <c:v>-159.53128431409743</c:v>
                </c:pt>
                <c:pt idx="491">
                  <c:v>-159.63967050218383</c:v>
                </c:pt>
                <c:pt idx="492">
                  <c:v>-159.7476940736253</c:v>
                </c:pt>
                <c:pt idx="493">
                  <c:v>-159.85535648325174</c:v>
                </c:pt>
                <c:pt idx="494">
                  <c:v>-159.96265917908806</c:v>
                </c:pt>
                <c:pt idx="495">
                  <c:v>-160.06960360239032</c:v>
                </c:pt>
                <c:pt idx="496">
                  <c:v>-160.17619118768206</c:v>
                </c:pt>
                <c:pt idx="497">
                  <c:v>-160.28242336279021</c:v>
                </c:pt>
                <c:pt idx="498">
                  <c:v>-160.38830154888069</c:v>
                </c:pt>
                <c:pt idx="499">
                  <c:v>-160.49382716049382</c:v>
                </c:pt>
                <c:pt idx="500">
                  <c:v>-160.59900160557993</c:v>
                </c:pt>
                <c:pt idx="501">
                  <c:v>-160.70382628553406</c:v>
                </c:pt>
                <c:pt idx="502">
                  <c:v>-160.80830259523108</c:v>
                </c:pt>
                <c:pt idx="503">
                  <c:v>-160.91243192306013</c:v>
                </c:pt>
                <c:pt idx="504">
                  <c:v>-161.01621565095923</c:v>
                </c:pt>
                <c:pt idx="505">
                  <c:v>-161.11965515444945</c:v>
                </c:pt>
                <c:pt idx="506">
                  <c:v>-161.22275180266891</c:v>
                </c:pt>
                <c:pt idx="507">
                  <c:v>-161.32550695840661</c:v>
                </c:pt>
                <c:pt idx="508">
                  <c:v>-161.42792197813611</c:v>
                </c:pt>
                <c:pt idx="509">
                  <c:v>-161.52999821204895</c:v>
                </c:pt>
                <c:pt idx="510">
                  <c:v>-161.63173700408788</c:v>
                </c:pt>
                <c:pt idx="511">
                  <c:v>-161.73313969197974</c:v>
                </c:pt>
                <c:pt idx="512">
                  <c:v>-161.83420760726852</c:v>
                </c:pt>
                <c:pt idx="513">
                  <c:v>-161.93494207534792</c:v>
                </c:pt>
                <c:pt idx="514">
                  <c:v>-162.03534441549368</c:v>
                </c:pt>
                <c:pt idx="515">
                  <c:v>-162.135415940896</c:v>
                </c:pt>
                <c:pt idx="516">
                  <c:v>-162.23515795869145</c:v>
                </c:pt>
                <c:pt idx="517">
                  <c:v>-162.33457176999505</c:v>
                </c:pt>
                <c:pt idx="518">
                  <c:v>-162.43365866993165</c:v>
                </c:pt>
                <c:pt idx="519">
                  <c:v>-162.53241994766768</c:v>
                </c:pt>
                <c:pt idx="520">
                  <c:v>-162.63085688644242</c:v>
                </c:pt>
                <c:pt idx="521">
                  <c:v>-162.72897076359897</c:v>
                </c:pt>
                <c:pt idx="522">
                  <c:v>-162.82676285061541</c:v>
                </c:pt>
                <c:pt idx="523">
                  <c:v>-162.92423441313534</c:v>
                </c:pt>
                <c:pt idx="524">
                  <c:v>-163.02138671099863</c:v>
                </c:pt>
                <c:pt idx="525">
                  <c:v>-163.11822099827174</c:v>
                </c:pt>
                <c:pt idx="526">
                  <c:v>-163.21473852327793</c:v>
                </c:pt>
                <c:pt idx="527">
                  <c:v>-163.31094052862727</c:v>
                </c:pt>
                <c:pt idx="528">
                  <c:v>-163.40682825124665</c:v>
                </c:pt>
                <c:pt idx="529">
                  <c:v>-163.50240292240932</c:v>
                </c:pt>
                <c:pt idx="530">
                  <c:v>-163.59766576776443</c:v>
                </c:pt>
                <c:pt idx="531">
                  <c:v>-163.69261800736635</c:v>
                </c:pt>
                <c:pt idx="532">
                  <c:v>-163.78726085570395</c:v>
                </c:pt>
                <c:pt idx="533">
                  <c:v>-163.88159552172957</c:v>
                </c:pt>
                <c:pt idx="534">
                  <c:v>-163.97562320888761</c:v>
                </c:pt>
                <c:pt idx="535">
                  <c:v>-164.06934511514356</c:v>
                </c:pt>
                <c:pt idx="536">
                  <c:v>-164.16276243301223</c:v>
                </c:pt>
                <c:pt idx="537">
                  <c:v>-164.2558763495862</c:v>
                </c:pt>
                <c:pt idx="538">
                  <c:v>-164.34868804656384</c:v>
                </c:pt>
                <c:pt idx="539">
                  <c:v>-164.44119870027745</c:v>
                </c:pt>
                <c:pt idx="540">
                  <c:v>-164.53340948172107</c:v>
                </c:pt>
                <c:pt idx="541">
                  <c:v>-164.62532155657806</c:v>
                </c:pt>
                <c:pt idx="542">
                  <c:v>-164.71693608524868</c:v>
                </c:pt>
                <c:pt idx="543">
                  <c:v>-164.80825422287742</c:v>
                </c:pt>
                <c:pt idx="544">
                  <c:v>-164.8992771193802</c:v>
                </c:pt>
                <c:pt idx="545">
                  <c:v>-164.99000591947134</c:v>
                </c:pt>
                <c:pt idx="546">
                  <c:v>-165.08044176269055</c:v>
                </c:pt>
                <c:pt idx="547">
                  <c:v>-165.17058578342949</c:v>
                </c:pt>
                <c:pt idx="548">
                  <c:v>-165.26043911095849</c:v>
                </c:pt>
                <c:pt idx="549">
                  <c:v>-165.35000286945291</c:v>
                </c:pt>
                <c:pt idx="550">
                  <c:v>-165.43927817801921</c:v>
                </c:pt>
                <c:pt idx="551">
                  <c:v>-165.52826615072138</c:v>
                </c:pt>
                <c:pt idx="552">
                  <c:v>-165.61696789660664</c:v>
                </c:pt>
                <c:pt idx="553">
                  <c:v>-165.70538451973135</c:v>
                </c:pt>
                <c:pt idx="554">
                  <c:v>-165.79351711918665</c:v>
                </c:pt>
                <c:pt idx="555">
                  <c:v>-165.88136678912389</c:v>
                </c:pt>
                <c:pt idx="556">
                  <c:v>-165.96893461878008</c:v>
                </c:pt>
                <c:pt idx="557">
                  <c:v>-166.05622169250313</c:v>
                </c:pt>
                <c:pt idx="558">
                  <c:v>-166.1432290897767</c:v>
                </c:pt>
                <c:pt idx="559">
                  <c:v>-166.2299578852454</c:v>
                </c:pt>
                <c:pt idx="560">
                  <c:v>-166.31640914873941</c:v>
                </c:pt>
                <c:pt idx="561">
                  <c:v>-166.40258394529909</c:v>
                </c:pt>
                <c:pt idx="562">
                  <c:v>-166.48848333519953</c:v>
                </c:pt>
                <c:pt idx="563">
                  <c:v>-166.57410837397504</c:v>
                </c:pt>
                <c:pt idx="564">
                  <c:v>-166.65946011244293</c:v>
                </c:pt>
                <c:pt idx="565">
                  <c:v>-166.74453959672815</c:v>
                </c:pt>
                <c:pt idx="566">
                  <c:v>-166.82934786828679</c:v>
                </c:pt>
                <c:pt idx="567">
                  <c:v>-166.91388596393006</c:v>
                </c:pt>
                <c:pt idx="568">
                  <c:v>-166.99815491584792</c:v>
                </c:pt>
                <c:pt idx="569">
                  <c:v>-167.08215575163263</c:v>
                </c:pt>
                <c:pt idx="570">
                  <c:v>-167.16588949430206</c:v>
                </c:pt>
                <c:pt idx="571">
                  <c:v>-167.24935716232312</c:v>
                </c:pt>
                <c:pt idx="572">
                  <c:v>-167.33255976963457</c:v>
                </c:pt>
                <c:pt idx="573">
                  <c:v>-167.4154983256704</c:v>
                </c:pt>
                <c:pt idx="574">
                  <c:v>-167.49817383538243</c:v>
                </c:pt>
                <c:pt idx="575">
                  <c:v>-167.5805872992631</c:v>
                </c:pt>
                <c:pt idx="576">
                  <c:v>-167.66273971336804</c:v>
                </c:pt>
                <c:pt idx="577">
                  <c:v>-167.74463206933865</c:v>
                </c:pt>
                <c:pt idx="578">
                  <c:v>-167.82626535442438</c:v>
                </c:pt>
                <c:pt idx="579">
                  <c:v>-167.9076405515049</c:v>
                </c:pt>
                <c:pt idx="580">
                  <c:v>-167.98875863911221</c:v>
                </c:pt>
                <c:pt idx="581">
                  <c:v>-168.06962059145269</c:v>
                </c:pt>
                <c:pt idx="582">
                  <c:v>-168.15022737842887</c:v>
                </c:pt>
                <c:pt idx="583">
                  <c:v>-168.23057996566112</c:v>
                </c:pt>
                <c:pt idx="584">
                  <c:v>-168.31067931450926</c:v>
                </c:pt>
                <c:pt idx="585">
                  <c:v>-168.39052638209409</c:v>
                </c:pt>
                <c:pt idx="586">
                  <c:v>-168.47012212131872</c:v>
                </c:pt>
                <c:pt idx="587">
                  <c:v>-168.54946748088972</c:v>
                </c:pt>
                <c:pt idx="588">
                  <c:v>-168.62856340533824</c:v>
                </c:pt>
                <c:pt idx="589">
                  <c:v>-168.70741083504114</c:v>
                </c:pt>
                <c:pt idx="590">
                  <c:v>-168.78601070624174</c:v>
                </c:pt>
                <c:pt idx="591">
                  <c:v>-168.86436395107052</c:v>
                </c:pt>
                <c:pt idx="592">
                  <c:v>-168.94247149756583</c:v>
                </c:pt>
                <c:pt idx="593">
                  <c:v>-169.0203342696945</c:v>
                </c:pt>
                <c:pt idx="594">
                  <c:v>-169.09795318737213</c:v>
                </c:pt>
                <c:pt idx="595">
                  <c:v>-169.17532916648327</c:v>
                </c:pt>
                <c:pt idx="596">
                  <c:v>-169.2524631189018</c:v>
                </c:pt>
                <c:pt idx="597">
                  <c:v>-169.32935595251095</c:v>
                </c:pt>
                <c:pt idx="598">
                  <c:v>-169.4060085712232</c:v>
                </c:pt>
                <c:pt idx="599">
                  <c:v>-169.482421875</c:v>
                </c:pt>
                <c:pt idx="600">
                  <c:v>-169.55859675987173</c:v>
                </c:pt>
                <c:pt idx="601">
                  <c:v>-169.63453411795717</c:v>
                </c:pt>
                <c:pt idx="602">
                  <c:v>-169.71023483748306</c:v>
                </c:pt>
                <c:pt idx="603">
                  <c:v>-169.78569980280338</c:v>
                </c:pt>
                <c:pt idx="604">
                  <c:v>-169.86092989441875</c:v>
                </c:pt>
                <c:pt idx="605">
                  <c:v>-169.93592598899562</c:v>
                </c:pt>
                <c:pt idx="606">
                  <c:v>-170.01068895938531</c:v>
                </c:pt>
                <c:pt idx="607">
                  <c:v>-170.08521967464287</c:v>
                </c:pt>
                <c:pt idx="608">
                  <c:v>-170.15951900004603</c:v>
                </c:pt>
                <c:pt idx="609">
                  <c:v>-170.23358779711404</c:v>
                </c:pt>
                <c:pt idx="610">
                  <c:v>-170.3074269236262</c:v>
                </c:pt>
                <c:pt idx="611">
                  <c:v>-170.38103723364037</c:v>
                </c:pt>
                <c:pt idx="612">
                  <c:v>-170.45441957751146</c:v>
                </c:pt>
                <c:pt idx="613">
                  <c:v>-170.52757480190985</c:v>
                </c:pt>
                <c:pt idx="614">
                  <c:v>-170.60050374983956</c:v>
                </c:pt>
                <c:pt idx="615">
                  <c:v>-170.67320726065626</c:v>
                </c:pt>
                <c:pt idx="616">
                  <c:v>-170.74568617008546</c:v>
                </c:pt>
                <c:pt idx="617">
                  <c:v>-170.81794131024049</c:v>
                </c:pt>
                <c:pt idx="618">
                  <c:v>-170.88997350964016</c:v>
                </c:pt>
                <c:pt idx="619">
                  <c:v>-170.96178359322653</c:v>
                </c:pt>
                <c:pt idx="620">
                  <c:v>-171.03337238238271</c:v>
                </c:pt>
                <c:pt idx="621">
                  <c:v>-171.10474069495015</c:v>
                </c:pt>
                <c:pt idx="622">
                  <c:v>-171.17588934524633</c:v>
                </c:pt>
                <c:pt idx="623">
                  <c:v>-171.24681914408191</c:v>
                </c:pt>
                <c:pt idx="624">
                  <c:v>-171.31753089877805</c:v>
                </c:pt>
                <c:pt idx="625">
                  <c:v>-171.38802541318358</c:v>
                </c:pt>
                <c:pt idx="626">
                  <c:v>-171.45830348769209</c:v>
                </c:pt>
                <c:pt idx="627">
                  <c:v>-171.52836591925873</c:v>
                </c:pt>
                <c:pt idx="628">
                  <c:v>-171.59821350141729</c:v>
                </c:pt>
                <c:pt idx="629">
                  <c:v>-171.66784702429686</c:v>
                </c:pt>
                <c:pt idx="630">
                  <c:v>-171.7372672746385</c:v>
                </c:pt>
                <c:pt idx="631">
                  <c:v>-171.80647503581196</c:v>
                </c:pt>
                <c:pt idx="632">
                  <c:v>-171.87547108783195</c:v>
                </c:pt>
                <c:pt idx="633">
                  <c:v>-171.94425620737482</c:v>
                </c:pt>
                <c:pt idx="634">
                  <c:v>-172.0128311677947</c:v>
                </c:pt>
                <c:pt idx="635">
                  <c:v>-172.08119673913978</c:v>
                </c:pt>
                <c:pt idx="636">
                  <c:v>-172.14935368816842</c:v>
                </c:pt>
                <c:pt idx="637">
                  <c:v>-172.21730277836531</c:v>
                </c:pt>
                <c:pt idx="638">
                  <c:v>-172.2850447699573</c:v>
                </c:pt>
                <c:pt idx="639">
                  <c:v>-172.35258041992938</c:v>
                </c:pt>
                <c:pt idx="640">
                  <c:v>-172.41991048204034</c:v>
                </c:pt>
                <c:pt idx="641">
                  <c:v>-172.48703570683867</c:v>
                </c:pt>
                <c:pt idx="642">
                  <c:v>-172.55395684167803</c:v>
                </c:pt>
                <c:pt idx="643">
                  <c:v>-172.62067463073279</c:v>
                </c:pt>
                <c:pt idx="644">
                  <c:v>-172.68718981501354</c:v>
                </c:pt>
                <c:pt idx="645">
                  <c:v>-172.75350313238241</c:v>
                </c:pt>
                <c:pt idx="646">
                  <c:v>-172.81961531756835</c:v>
                </c:pt>
                <c:pt idx="647">
                  <c:v>-172.88552710218235</c:v>
                </c:pt>
                <c:pt idx="648">
                  <c:v>-172.95123921473254</c:v>
                </c:pt>
                <c:pt idx="649">
                  <c:v>-173.01675238063916</c:v>
                </c:pt>
                <c:pt idx="650">
                  <c:v>-173.08206732224971</c:v>
                </c:pt>
                <c:pt idx="651">
                  <c:v>-173.14718475885354</c:v>
                </c:pt>
                <c:pt idx="652">
                  <c:v>-173.21210540669682</c:v>
                </c:pt>
                <c:pt idx="653">
                  <c:v>-173.27682997899717</c:v>
                </c:pt>
                <c:pt idx="654">
                  <c:v>-173.34135918595837</c:v>
                </c:pt>
                <c:pt idx="655">
                  <c:v>-173.40569373478479</c:v>
                </c:pt>
                <c:pt idx="656">
                  <c:v>-173.46983432969597</c:v>
                </c:pt>
                <c:pt idx="657">
                  <c:v>-173.53378167194089</c:v>
                </c:pt>
                <c:pt idx="658">
                  <c:v>-173.59753645981243</c:v>
                </c:pt>
                <c:pt idx="659">
                  <c:v>-173.66109938866148</c:v>
                </c:pt>
                <c:pt idx="660">
                  <c:v>-173.72447115091111</c:v>
                </c:pt>
                <c:pt idx="661">
                  <c:v>-173.78765243607074</c:v>
                </c:pt>
                <c:pt idx="662">
                  <c:v>-173.85064393075004</c:v>
                </c:pt>
                <c:pt idx="663">
                  <c:v>-173.91344631867292</c:v>
                </c:pt>
                <c:pt idx="664">
                  <c:v>-173.97606028069134</c:v>
                </c:pt>
                <c:pt idx="665">
                  <c:v>-174.03848649479914</c:v>
                </c:pt>
                <c:pt idx="666">
                  <c:v>-174.10072563614574</c:v>
                </c:pt>
                <c:pt idx="667">
                  <c:v>-174.1627783770497</c:v>
                </c:pt>
                <c:pt idx="668">
                  <c:v>-174.22464538701229</c:v>
                </c:pt>
                <c:pt idx="669">
                  <c:v>-174.2863273327311</c:v>
                </c:pt>
                <c:pt idx="670">
                  <c:v>-174.34782487811333</c:v>
                </c:pt>
                <c:pt idx="671">
                  <c:v>-174.4091386842891</c:v>
                </c:pt>
                <c:pt idx="672">
                  <c:v>-174.47026940962485</c:v>
                </c:pt>
                <c:pt idx="673">
                  <c:v>-174.53121770973641</c:v>
                </c:pt>
                <c:pt idx="674">
                  <c:v>-174.59198423750223</c:v>
                </c:pt>
                <c:pt idx="675">
                  <c:v>-174.6525696430763</c:v>
                </c:pt>
                <c:pt idx="676">
                  <c:v>-174.71297457390128</c:v>
                </c:pt>
                <c:pt idx="677">
                  <c:v>-174.7731996747213</c:v>
                </c:pt>
                <c:pt idx="678">
                  <c:v>-174.83324558759497</c:v>
                </c:pt>
                <c:pt idx="679">
                  <c:v>-174.89311295190791</c:v>
                </c:pt>
                <c:pt idx="680">
                  <c:v>-174.95280240438564</c:v>
                </c:pt>
                <c:pt idx="681">
                  <c:v>-175.0123145791062</c:v>
                </c:pt>
                <c:pt idx="682">
                  <c:v>-175.07165010751268</c:v>
                </c:pt>
                <c:pt idx="683">
                  <c:v>-175.13080961842576</c:v>
                </c:pt>
                <c:pt idx="684">
                  <c:v>-175.18979373805607</c:v>
                </c:pt>
                <c:pt idx="685">
                  <c:v>-175.24860309001673</c:v>
                </c:pt>
                <c:pt idx="686">
                  <c:v>-175.30723829533548</c:v>
                </c:pt>
                <c:pt idx="687">
                  <c:v>-175.36569997246698</c:v>
                </c:pt>
                <c:pt idx="688">
                  <c:v>-175.42398873730514</c:v>
                </c:pt>
                <c:pt idx="689">
                  <c:v>-175.48210520319486</c:v>
                </c:pt>
                <c:pt idx="690">
                  <c:v>-175.54004998094453</c:v>
                </c:pt>
                <c:pt idx="691">
                  <c:v>-175.59782367883773</c:v>
                </c:pt>
                <c:pt idx="692">
                  <c:v>-175.65542690264513</c:v>
                </c:pt>
                <c:pt idx="693">
                  <c:v>-175.71286025563654</c:v>
                </c:pt>
                <c:pt idx="694">
                  <c:v>-175.77012433859252</c:v>
                </c:pt>
                <c:pt idx="695">
                  <c:v>-175.82721974981627</c:v>
                </c:pt>
                <c:pt idx="696">
                  <c:v>-175.88414708514512</c:v>
                </c:pt>
                <c:pt idx="697">
                  <c:v>-175.94090693796227</c:v>
                </c:pt>
                <c:pt idx="698">
                  <c:v>-175.99749989920832</c:v>
                </c:pt>
                <c:pt idx="699">
                  <c:v>-176.05392655739274</c:v>
                </c:pt>
                <c:pt idx="700">
                  <c:v>-176.11018749860526</c:v>
                </c:pt>
                <c:pt idx="701">
                  <c:v>-176.16628330652719</c:v>
                </c:pt>
                <c:pt idx="702">
                  <c:v>-176.2222145624429</c:v>
                </c:pt>
                <c:pt idx="703">
                  <c:v>-176.27798184525096</c:v>
                </c:pt>
                <c:pt idx="704">
                  <c:v>-176.33358573147524</c:v>
                </c:pt>
                <c:pt idx="705">
                  <c:v>-176.38902679527615</c:v>
                </c:pt>
                <c:pt idx="706">
                  <c:v>-176.44430560846172</c:v>
                </c:pt>
                <c:pt idx="707">
                  <c:v>-176.49942274049849</c:v>
                </c:pt>
                <c:pt idx="708">
                  <c:v>-176.55437875852257</c:v>
                </c:pt>
                <c:pt idx="709">
                  <c:v>-176.60917422735054</c:v>
                </c:pt>
                <c:pt idx="710">
                  <c:v>-176.66380970949012</c:v>
                </c:pt>
                <c:pt idx="711">
                  <c:v>-176.71828576515119</c:v>
                </c:pt>
                <c:pt idx="712">
                  <c:v>-176.77260295225639</c:v>
                </c:pt>
                <c:pt idx="713">
                  <c:v>-176.82676182645167</c:v>
                </c:pt>
                <c:pt idx="714">
                  <c:v>-176.88076294111715</c:v>
                </c:pt>
                <c:pt idx="715">
                  <c:v>-176.93460684737749</c:v>
                </c:pt>
                <c:pt idx="716">
                  <c:v>-176.98829409411246</c:v>
                </c:pt>
                <c:pt idx="717">
                  <c:v>-177.04182522796737</c:v>
                </c:pt>
                <c:pt idx="718">
                  <c:v>-177.0952007933634</c:v>
                </c:pt>
                <c:pt idx="719">
                  <c:v>-177.14842133250809</c:v>
                </c:pt>
                <c:pt idx="720">
                  <c:v>-177.20148738540547</c:v>
                </c:pt>
                <c:pt idx="721">
                  <c:v>-177.25439948986636</c:v>
                </c:pt>
                <c:pt idx="722">
                  <c:v>-177.30715818151847</c:v>
                </c:pt>
                <c:pt idx="723">
                  <c:v>-177.35976399381673</c:v>
                </c:pt>
                <c:pt idx="724">
                  <c:v>-177.41221745805302</c:v>
                </c:pt>
                <c:pt idx="725">
                  <c:v>-177.46451910336648</c:v>
                </c:pt>
                <c:pt idx="726">
                  <c:v>-177.51666945675339</c:v>
                </c:pt>
                <c:pt idx="727">
                  <c:v>-177.56866904307697</c:v>
                </c:pt>
                <c:pt idx="728">
                  <c:v>-177.62051838507745</c:v>
                </c:pt>
                <c:pt idx="729">
                  <c:v>-177.6722180033816</c:v>
                </c:pt>
                <c:pt idx="730">
                  <c:v>-177.72376841651283</c:v>
                </c:pt>
                <c:pt idx="731">
                  <c:v>-177.77517014090057</c:v>
                </c:pt>
                <c:pt idx="732">
                  <c:v>-177.82642369089015</c:v>
                </c:pt>
                <c:pt idx="733">
                  <c:v>-177.8775295787523</c:v>
                </c:pt>
                <c:pt idx="734">
                  <c:v>-177.92848831469277</c:v>
                </c:pt>
                <c:pt idx="735">
                  <c:v>-177.97930040686177</c:v>
                </c:pt>
                <c:pt idx="736">
                  <c:v>-178.02996636136351</c:v>
                </c:pt>
                <c:pt idx="737">
                  <c:v>-178.08048668226547</c:v>
                </c:pt>
                <c:pt idx="738">
                  <c:v>-178.13086187160798</c:v>
                </c:pt>
                <c:pt idx="739">
                  <c:v>-178.18109242941335</c:v>
                </c:pt>
                <c:pt idx="740">
                  <c:v>-178.23117885369516</c:v>
                </c:pt>
                <c:pt idx="741">
                  <c:v>-178.28112164046757</c:v>
                </c:pt>
                <c:pt idx="742">
                  <c:v>-178.33092128375438</c:v>
                </c:pt>
                <c:pt idx="743">
                  <c:v>-178.38057827559825</c:v>
                </c:pt>
                <c:pt idx="744">
                  <c:v>-178.43009310606971</c:v>
                </c:pt>
                <c:pt idx="745">
                  <c:v>-178.47946626327612</c:v>
                </c:pt>
                <c:pt idx="746">
                  <c:v>-178.5286982333709</c:v>
                </c:pt>
                <c:pt idx="747">
                  <c:v>-178.5777895005622</c:v>
                </c:pt>
                <c:pt idx="748">
                  <c:v>-178.6267405471219</c:v>
                </c:pt>
                <c:pt idx="749">
                  <c:v>-178.67555185339441</c:v>
                </c:pt>
                <c:pt idx="750">
                  <c:v>-178.72422389780562</c:v>
                </c:pt>
                <c:pt idx="751">
                  <c:v>-178.77275715687139</c:v>
                </c:pt>
                <c:pt idx="752">
                  <c:v>-178.82115210520655</c:v>
                </c:pt>
                <c:pt idx="753">
                  <c:v>-178.8694092155333</c:v>
                </c:pt>
                <c:pt idx="754">
                  <c:v>-178.91752895869001</c:v>
                </c:pt>
                <c:pt idx="755">
                  <c:v>-178.96551180363974</c:v>
                </c:pt>
                <c:pt idx="756">
                  <c:v>-179.01335821747875</c:v>
                </c:pt>
                <c:pt idx="757">
                  <c:v>-179.06106866544502</c:v>
                </c:pt>
                <c:pt idx="758">
                  <c:v>-179.10864361092661</c:v>
                </c:pt>
                <c:pt idx="759">
                  <c:v>-179.15608351547024</c:v>
                </c:pt>
                <c:pt idx="760">
                  <c:v>-179.20338883878949</c:v>
                </c:pt>
                <c:pt idx="761">
                  <c:v>-179.2505600387731</c:v>
                </c:pt>
                <c:pt idx="762">
                  <c:v>-179.29759757149338</c:v>
                </c:pt>
                <c:pt idx="763">
                  <c:v>-179.34450189121438</c:v>
                </c:pt>
                <c:pt idx="764">
                  <c:v>-179.39127345040004</c:v>
                </c:pt>
                <c:pt idx="765">
                  <c:v>-179.43791269972229</c:v>
                </c:pt>
                <c:pt idx="766">
                  <c:v>-179.48442008806938</c:v>
                </c:pt>
                <c:pt idx="767">
                  <c:v>-179.53079606255372</c:v>
                </c:pt>
                <c:pt idx="768">
                  <c:v>-179.57704106851992</c:v>
                </c:pt>
                <c:pt idx="769">
                  <c:v>-179.62315554955296</c:v>
                </c:pt>
                <c:pt idx="770">
                  <c:v>-179.66913994748586</c:v>
                </c:pt>
                <c:pt idx="771">
                  <c:v>-179.71499470240786</c:v>
                </c:pt>
                <c:pt idx="772">
                  <c:v>-179.76072025267212</c:v>
                </c:pt>
                <c:pt idx="773">
                  <c:v>-179.80631703490343</c:v>
                </c:pt>
                <c:pt idx="774">
                  <c:v>-179.85178548400634</c:v>
                </c:pt>
                <c:pt idx="775">
                  <c:v>-179.89712603317258</c:v>
                </c:pt>
                <c:pt idx="776">
                  <c:v>-179.94233911388895</c:v>
                </c:pt>
                <c:pt idx="777">
                  <c:v>-179.98742515594478</c:v>
                </c:pt>
                <c:pt idx="778">
                  <c:v>-180.03238458743982</c:v>
                </c:pt>
                <c:pt idx="779">
                  <c:v>-180.07721783479172</c:v>
                </c:pt>
                <c:pt idx="780">
                  <c:v>-180.12192532274344</c:v>
                </c:pt>
                <c:pt idx="781">
                  <c:v>-180.16650747437097</c:v>
                </c:pt>
                <c:pt idx="782">
                  <c:v>-180.2109647110907</c:v>
                </c:pt>
                <c:pt idx="783">
                  <c:v>-180.25529745266681</c:v>
                </c:pt>
                <c:pt idx="784">
                  <c:v>-180.29950611721887</c:v>
                </c:pt>
                <c:pt idx="785">
                  <c:v>-180.34359112122888</c:v>
                </c:pt>
                <c:pt idx="786">
                  <c:v>-180.38755287954891</c:v>
                </c:pt>
                <c:pt idx="787">
                  <c:v>-180.43139180540823</c:v>
                </c:pt>
                <c:pt idx="788">
                  <c:v>-180.4751083104205</c:v>
                </c:pt>
                <c:pt idx="789">
                  <c:v>-180.51870280459116</c:v>
                </c:pt>
                <c:pt idx="790">
                  <c:v>-180.56217569632446</c:v>
                </c:pt>
                <c:pt idx="791">
                  <c:v>-180.6055273924307</c:v>
                </c:pt>
                <c:pt idx="792">
                  <c:v>-180.64875829813323</c:v>
                </c:pt>
                <c:pt idx="793">
                  <c:v>-180.69186881707563</c:v>
                </c:pt>
                <c:pt idx="794">
                  <c:v>-180.73485935132871</c:v>
                </c:pt>
                <c:pt idx="795">
                  <c:v>-180.77773030139747</c:v>
                </c:pt>
                <c:pt idx="796">
                  <c:v>-180.82048206622807</c:v>
                </c:pt>
                <c:pt idx="797">
                  <c:v>-180.86311504321483</c:v>
                </c:pt>
                <c:pt idx="798">
                  <c:v>-180.90562962820707</c:v>
                </c:pt>
                <c:pt idx="799">
                  <c:v>-180.94802621551594</c:v>
                </c:pt>
                <c:pt idx="800">
                  <c:v>-180.99030519792132</c:v>
                </c:pt>
                <c:pt idx="801">
                  <c:v>-181.03246696667856</c:v>
                </c:pt>
                <c:pt idx="802">
                  <c:v>-181.07451191152526</c:v>
                </c:pt>
                <c:pt idx="803">
                  <c:v>-181.11644042068804</c:v>
                </c:pt>
                <c:pt idx="804">
                  <c:v>-181.15825288088911</c:v>
                </c:pt>
                <c:pt idx="805">
                  <c:v>-181.19994967735303</c:v>
                </c:pt>
                <c:pt idx="806">
                  <c:v>-181.24153119381333</c:v>
                </c:pt>
                <c:pt idx="807">
                  <c:v>-181.28299781251903</c:v>
                </c:pt>
                <c:pt idx="808">
                  <c:v>-181.32434991424128</c:v>
                </c:pt>
                <c:pt idx="809">
                  <c:v>-181.36558787827988</c:v>
                </c:pt>
                <c:pt idx="810">
                  <c:v>-181.40671208246968</c:v>
                </c:pt>
                <c:pt idx="811">
                  <c:v>-181.44772290318718</c:v>
                </c:pt>
                <c:pt idx="812">
                  <c:v>-181.48862071535686</c:v>
                </c:pt>
                <c:pt idx="813">
                  <c:v>-181.52940589245759</c:v>
                </c:pt>
                <c:pt idx="814">
                  <c:v>-181.57007880652904</c:v>
                </c:pt>
                <c:pt idx="815">
                  <c:v>-181.61063982817802</c:v>
                </c:pt>
                <c:pt idx="816">
                  <c:v>-181.65108932658467</c:v>
                </c:pt>
                <c:pt idx="817">
                  <c:v>-181.69142766950893</c:v>
                </c:pt>
                <c:pt idx="818">
                  <c:v>-181.73165522329651</c:v>
                </c:pt>
                <c:pt idx="819">
                  <c:v>-181.77177235288548</c:v>
                </c:pt>
                <c:pt idx="820">
                  <c:v>-181.81177942181202</c:v>
                </c:pt>
                <c:pt idx="821">
                  <c:v>-181.85167679221689</c:v>
                </c:pt>
                <c:pt idx="822">
                  <c:v>-181.8914648248514</c:v>
                </c:pt>
                <c:pt idx="823">
                  <c:v>-181.93114387908355</c:v>
                </c:pt>
                <c:pt idx="824">
                  <c:v>-181.97071431290411</c:v>
                </c:pt>
                <c:pt idx="825">
                  <c:v>-182.01017648293251</c:v>
                </c:pt>
                <c:pt idx="826">
                  <c:v>-182.04953074442304</c:v>
                </c:pt>
                <c:pt idx="827">
                  <c:v>-182.08877745127069</c:v>
                </c:pt>
                <c:pt idx="828">
                  <c:v>-182.12791695601712</c:v>
                </c:pt>
                <c:pt idx="829">
                  <c:v>-182.1669496098566</c:v>
                </c:pt>
                <c:pt idx="830">
                  <c:v>-182.20587576264182</c:v>
                </c:pt>
                <c:pt idx="831">
                  <c:v>-182.24469576288985</c:v>
                </c:pt>
                <c:pt idx="832">
                  <c:v>-182.28340995778785</c:v>
                </c:pt>
                <c:pt idx="833">
                  <c:v>-182.32201869319897</c:v>
                </c:pt>
                <c:pt idx="834">
                  <c:v>-182.36052231366804</c:v>
                </c:pt>
                <c:pt idx="835">
                  <c:v>-182.39892116242731</c:v>
                </c:pt>
                <c:pt idx="836">
                  <c:v>-182.43721558140231</c:v>
                </c:pt>
                <c:pt idx="837">
                  <c:v>-182.47540591121725</c:v>
                </c:pt>
                <c:pt idx="838">
                  <c:v>-182.51349249120094</c:v>
                </c:pt>
                <c:pt idx="839">
                  <c:v>-182.55147565939228</c:v>
                </c:pt>
                <c:pt idx="840">
                  <c:v>-182.58935575254597</c:v>
                </c:pt>
                <c:pt idx="841">
                  <c:v>-182.62713310613793</c:v>
                </c:pt>
                <c:pt idx="842">
                  <c:v>-182.66480805437095</c:v>
                </c:pt>
                <c:pt idx="843">
                  <c:v>-182.70238093018017</c:v>
                </c:pt>
                <c:pt idx="844">
                  <c:v>-182.73985206523864</c:v>
                </c:pt>
                <c:pt idx="845">
                  <c:v>-182.77722178996268</c:v>
                </c:pt>
                <c:pt idx="846">
                  <c:v>-182.81449043351739</c:v>
                </c:pt>
                <c:pt idx="847">
                  <c:v>-182.85165832382208</c:v>
                </c:pt>
                <c:pt idx="848">
                  <c:v>-182.88872578755556</c:v>
                </c:pt>
                <c:pt idx="849">
                  <c:v>-182.92569315016161</c:v>
                </c:pt>
                <c:pt idx="850">
                  <c:v>-182.9625607358542</c:v>
                </c:pt>
                <c:pt idx="851">
                  <c:v>-182.99932886762295</c:v>
                </c:pt>
                <c:pt idx="852">
                  <c:v>-183.03599786723825</c:v>
                </c:pt>
                <c:pt idx="853">
                  <c:v>-183.07256805525665</c:v>
                </c:pt>
                <c:pt idx="854">
                  <c:v>-183.10903975102596</c:v>
                </c:pt>
                <c:pt idx="855">
                  <c:v>-183.14541327269058</c:v>
                </c:pt>
                <c:pt idx="856">
                  <c:v>-183.18168893719664</c:v>
                </c:pt>
                <c:pt idx="857">
                  <c:v>-183.21786706029707</c:v>
                </c:pt>
                <c:pt idx="858">
                  <c:v>-183.25394795655683</c:v>
                </c:pt>
                <c:pt idx="859">
                  <c:v>-183.28993193935807</c:v>
                </c:pt>
                <c:pt idx="860">
                  <c:v>-183.32581932090503</c:v>
                </c:pt>
                <c:pt idx="861">
                  <c:v>-183.3616104122292</c:v>
                </c:pt>
                <c:pt idx="862">
                  <c:v>-183.3973055231944</c:v>
                </c:pt>
                <c:pt idx="863">
                  <c:v>-183.43290496250171</c:v>
                </c:pt>
                <c:pt idx="864">
                  <c:v>-183.4684090376945</c:v>
                </c:pt>
                <c:pt idx="865">
                  <c:v>-183.50381805516332</c:v>
                </c:pt>
                <c:pt idx="866">
                  <c:v>-183.53913232015088</c:v>
                </c:pt>
                <c:pt idx="867">
                  <c:v>-183.57435213675706</c:v>
                </c:pt>
                <c:pt idx="868">
                  <c:v>-183.60947780794356</c:v>
                </c:pt>
                <c:pt idx="869">
                  <c:v>-183.64450963553907</c:v>
                </c:pt>
                <c:pt idx="870">
                  <c:v>-183.6794479202438</c:v>
                </c:pt>
                <c:pt idx="871">
                  <c:v>-183.71429296163456</c:v>
                </c:pt>
                <c:pt idx="872">
                  <c:v>-183.74904505816934</c:v>
                </c:pt>
                <c:pt idx="873">
                  <c:v>-183.78370450719228</c:v>
                </c:pt>
                <c:pt idx="874">
                  <c:v>-183.81827160493827</c:v>
                </c:pt>
                <c:pt idx="875">
                  <c:v>-183.85274664653775</c:v>
                </c:pt>
                <c:pt idx="876">
                  <c:v>-183.88712992602137</c:v>
                </c:pt>
                <c:pt idx="877">
                  <c:v>-183.92142173632473</c:v>
                </c:pt>
                <c:pt idx="878">
                  <c:v>-183.95562236929297</c:v>
                </c:pt>
                <c:pt idx="879">
                  <c:v>-183.98973211568543</c:v>
                </c:pt>
                <c:pt idx="880">
                  <c:v>-184.02375126518032</c:v>
                </c:pt>
                <c:pt idx="881">
                  <c:v>-184.05768010637928</c:v>
                </c:pt>
                <c:pt idx="882">
                  <c:v>-184.09151892681183</c:v>
                </c:pt>
                <c:pt idx="883">
                  <c:v>-184.12526801294013</c:v>
                </c:pt>
                <c:pt idx="884">
                  <c:v>-184.15892765016335</c:v>
                </c:pt>
                <c:pt idx="885">
                  <c:v>-184.19249812282223</c:v>
                </c:pt>
                <c:pt idx="886">
                  <c:v>-184.22597971420362</c:v>
                </c:pt>
                <c:pt idx="887">
                  <c:v>-184.25937270654475</c:v>
                </c:pt>
                <c:pt idx="888">
                  <c:v>-184.29267738103798</c:v>
                </c:pt>
                <c:pt idx="889">
                  <c:v>-184.32589401783491</c:v>
                </c:pt>
                <c:pt idx="890">
                  <c:v>-184.35902289605093</c:v>
                </c:pt>
                <c:pt idx="891">
                  <c:v>-184.39206429376961</c:v>
                </c:pt>
                <c:pt idx="892">
                  <c:v>-184.42501848804704</c:v>
                </c:pt>
                <c:pt idx="893">
                  <c:v>-184.45788575491616</c:v>
                </c:pt>
                <c:pt idx="894">
                  <c:v>-184.49066636939099</c:v>
                </c:pt>
                <c:pt idx="895">
                  <c:v>-184.52336060547111</c:v>
                </c:pt>
                <c:pt idx="896">
                  <c:v>-184.55596873614576</c:v>
                </c:pt>
                <c:pt idx="897">
                  <c:v>-184.58849103339818</c:v>
                </c:pt>
                <c:pt idx="898">
                  <c:v>-184.62092776820984</c:v>
                </c:pt>
                <c:pt idx="899">
                  <c:v>-184.65327921056468</c:v>
                </c:pt>
                <c:pt idx="900">
                  <c:v>-184.6855456294532</c:v>
                </c:pt>
                <c:pt idx="901">
                  <c:v>-184.71772729287676</c:v>
                </c:pt>
                <c:pt idx="902">
                  <c:v>-184.74982446785165</c:v>
                </c:pt>
                <c:pt idx="903">
                  <c:v>-184.78183742041327</c:v>
                </c:pt>
                <c:pt idx="904">
                  <c:v>-184.81376641562022</c:v>
                </c:pt>
                <c:pt idx="905">
                  <c:v>-184.84561171755846</c:v>
                </c:pt>
                <c:pt idx="906">
                  <c:v>-184.87737358934521</c:v>
                </c:pt>
                <c:pt idx="907">
                  <c:v>-184.90905229313327</c:v>
                </c:pt>
                <c:pt idx="908">
                  <c:v>-184.94064809011488</c:v>
                </c:pt>
                <c:pt idx="909">
                  <c:v>-184.97216124052574</c:v>
                </c:pt>
                <c:pt idx="910">
                  <c:v>-185.00359200364909</c:v>
                </c:pt>
                <c:pt idx="911">
                  <c:v>-185.03494063781966</c:v>
                </c:pt>
                <c:pt idx="912">
                  <c:v>-185.0662074004276</c:v>
                </c:pt>
                <c:pt idx="913">
                  <c:v>-185.09739254792251</c:v>
                </c:pt>
                <c:pt idx="914">
                  <c:v>-185.12849633581726</c:v>
                </c:pt>
                <c:pt idx="915">
                  <c:v>-185.15951901869195</c:v>
                </c:pt>
                <c:pt idx="916">
                  <c:v>-185.19046085019784</c:v>
                </c:pt>
                <c:pt idx="917">
                  <c:v>-185.2213220830611</c:v>
                </c:pt>
                <c:pt idx="918">
                  <c:v>-185.25210296908685</c:v>
                </c:pt>
                <c:pt idx="919">
                  <c:v>-185.28280375916282</c:v>
                </c:pt>
                <c:pt idx="920">
                  <c:v>-185.31342470326322</c:v>
                </c:pt>
                <c:pt idx="921">
                  <c:v>-185.34396605045259</c:v>
                </c:pt>
                <c:pt idx="922">
                  <c:v>-185.37442804888957</c:v>
                </c:pt>
                <c:pt idx="923">
                  <c:v>-185.40481094583058</c:v>
                </c:pt>
                <c:pt idx="924">
                  <c:v>-185.43511498763365</c:v>
                </c:pt>
                <c:pt idx="925">
                  <c:v>-185.46534041976213</c:v>
                </c:pt>
                <c:pt idx="926">
                  <c:v>-185.49548748678842</c:v>
                </c:pt>
                <c:pt idx="927">
                  <c:v>-185.52555643239756</c:v>
                </c:pt>
                <c:pt idx="928">
                  <c:v>-185.55554749939111</c:v>
                </c:pt>
                <c:pt idx="929">
                  <c:v>-185.58546092969061</c:v>
                </c:pt>
                <c:pt idx="930">
                  <c:v>-185.61529696434124</c:v>
                </c:pt>
                <c:pt idx="931">
                  <c:v>-185.64505584351565</c:v>
                </c:pt>
                <c:pt idx="932">
                  <c:v>-185.67473780651733</c:v>
                </c:pt>
                <c:pt idx="933">
                  <c:v>-185.7043430917843</c:v>
                </c:pt>
                <c:pt idx="934">
                  <c:v>-185.73387193689271</c:v>
                </c:pt>
                <c:pt idx="935">
                  <c:v>-185.76332457856037</c:v>
                </c:pt>
                <c:pt idx="936">
                  <c:v>-185.79270125265029</c:v>
                </c:pt>
                <c:pt idx="937">
                  <c:v>-185.82200219417416</c:v>
                </c:pt>
                <c:pt idx="938">
                  <c:v>-185.85122763729601</c:v>
                </c:pt>
                <c:pt idx="939">
                  <c:v>-185.88037781533546</c:v>
                </c:pt>
                <c:pt idx="940">
                  <c:v>-185.90945296077149</c:v>
                </c:pt>
                <c:pt idx="941">
                  <c:v>-185.93845330524567</c:v>
                </c:pt>
                <c:pt idx="942">
                  <c:v>-185.96737907956569</c:v>
                </c:pt>
                <c:pt idx="943">
                  <c:v>-185.99623051370878</c:v>
                </c:pt>
                <c:pt idx="944">
                  <c:v>-186.02500783682513</c:v>
                </c:pt>
                <c:pt idx="945">
                  <c:v>-186.05371127724132</c:v>
                </c:pt>
                <c:pt idx="946">
                  <c:v>-186.0823410624636</c:v>
                </c:pt>
                <c:pt idx="947">
                  <c:v>-186.11089741918136</c:v>
                </c:pt>
                <c:pt idx="948">
                  <c:v>-186.13938057327044</c:v>
                </c:pt>
                <c:pt idx="949">
                  <c:v>-186.16779074979652</c:v>
                </c:pt>
                <c:pt idx="950">
                  <c:v>-186.19612817301825</c:v>
                </c:pt>
                <c:pt idx="951">
                  <c:v>-186.22439306639083</c:v>
                </c:pt>
                <c:pt idx="952">
                  <c:v>-186.25258565256908</c:v>
                </c:pt>
                <c:pt idx="953">
                  <c:v>-186.28070615341085</c:v>
                </c:pt>
                <c:pt idx="954">
                  <c:v>-186.30875478998018</c:v>
                </c:pt>
                <c:pt idx="955">
                  <c:v>-186.33673178255057</c:v>
                </c:pt>
                <c:pt idx="956">
                  <c:v>-186.36463735060829</c:v>
                </c:pt>
                <c:pt idx="957">
                  <c:v>-186.3924717128555</c:v>
                </c:pt>
                <c:pt idx="958">
                  <c:v>-186.42023508721346</c:v>
                </c:pt>
                <c:pt idx="959">
                  <c:v>-186.44792769082576</c:v>
                </c:pt>
                <c:pt idx="960">
                  <c:v>-186.47554974006147</c:v>
                </c:pt>
                <c:pt idx="961">
                  <c:v>-186.50310145051827</c:v>
                </c:pt>
                <c:pt idx="962">
                  <c:v>-186.53058303702565</c:v>
                </c:pt>
                <c:pt idx="963">
                  <c:v>-186.55799471364796</c:v>
                </c:pt>
                <c:pt idx="964">
                  <c:v>-186.58533669368754</c:v>
                </c:pt>
                <c:pt idx="965">
                  <c:v>-186.61260918968793</c:v>
                </c:pt>
                <c:pt idx="966">
                  <c:v>-186.63981241343677</c:v>
                </c:pt>
                <c:pt idx="967">
                  <c:v>-186.66694657596901</c:v>
                </c:pt>
                <c:pt idx="968">
                  <c:v>-186.69401188756993</c:v>
                </c:pt>
                <c:pt idx="969">
                  <c:v>-186.72100855777816</c:v>
                </c:pt>
                <c:pt idx="970">
                  <c:v>-186.74793679538868</c:v>
                </c:pt>
                <c:pt idx="971">
                  <c:v>-186.77479680845596</c:v>
                </c:pt>
                <c:pt idx="972">
                  <c:v>-186.80158880429678</c:v>
                </c:pt>
                <c:pt idx="973">
                  <c:v>-186.82831298949341</c:v>
                </c:pt>
                <c:pt idx="974">
                  <c:v>-186.85496956989641</c:v>
                </c:pt>
                <c:pt idx="975">
                  <c:v>-186.88155875062768</c:v>
                </c:pt>
                <c:pt idx="976">
                  <c:v>-186.90808073608341</c:v>
                </c:pt>
                <c:pt idx="977">
                  <c:v>-186.93453572993698</c:v>
                </c:pt>
                <c:pt idx="978">
                  <c:v>-186.96092393514192</c:v>
                </c:pt>
                <c:pt idx="979">
                  <c:v>-186.9872455539348</c:v>
                </c:pt>
                <c:pt idx="980">
                  <c:v>-187.01350078783804</c:v>
                </c:pt>
                <c:pt idx="981">
                  <c:v>-187.03968983766293</c:v>
                </c:pt>
                <c:pt idx="982">
                  <c:v>-187.06581290351241</c:v>
                </c:pt>
                <c:pt idx="983">
                  <c:v>-187.09187018478397</c:v>
                </c:pt>
                <c:pt idx="984">
                  <c:v>-187.11786188017243</c:v>
                </c:pt>
                <c:pt idx="985">
                  <c:v>-187.14378818767281</c:v>
                </c:pt>
                <c:pt idx="986">
                  <c:v>-187.1696493045832</c:v>
                </c:pt>
                <c:pt idx="987">
                  <c:v>-187.19544542750739</c:v>
                </c:pt>
                <c:pt idx="988">
                  <c:v>-187.22117675235788</c:v>
                </c:pt>
                <c:pt idx="989">
                  <c:v>-187.24684347435849</c:v>
                </c:pt>
                <c:pt idx="990">
                  <c:v>-187.27244578804718</c:v>
                </c:pt>
                <c:pt idx="991">
                  <c:v>-187.29798388727886</c:v>
                </c:pt>
                <c:pt idx="992">
                  <c:v>-187.32345796522807</c:v>
                </c:pt>
                <c:pt idx="993">
                  <c:v>-187.34886821439164</c:v>
                </c:pt>
                <c:pt idx="994">
                  <c:v>-187.37421482659155</c:v>
                </c:pt>
                <c:pt idx="995">
                  <c:v>-187.39949799297753</c:v>
                </c:pt>
                <c:pt idx="996">
                  <c:v>-187.42471790402982</c:v>
                </c:pt>
                <c:pt idx="997">
                  <c:v>-187.44987474956179</c:v>
                </c:pt>
                <c:pt idx="998">
                  <c:v>-187.47496871872264</c:v>
                </c:pt>
                <c:pt idx="999">
                  <c:v>-187.5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5D-0F48-B746-D1E2882B0FA8}"/>
            </c:ext>
          </c:extLst>
        </c:ser>
        <c:ser>
          <c:idx val="5"/>
          <c:order val="4"/>
          <c:tx>
            <c:strRef>
              <c:f>NPVs!$G$18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NPVs!$B$19:$B$1018</c:f>
              <c:numCache>
                <c:formatCode>0.000%</c:formatCode>
                <c:ptCount val="1000"/>
                <c:pt idx="0" formatCode="0.00%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  <c:pt idx="999">
                  <c:v>1</c:v>
                </c:pt>
              </c:numCache>
            </c:numRef>
          </c:cat>
          <c:val>
            <c:numRef>
              <c:f>NPVs!$G$19:$G$1018</c:f>
              <c:numCache>
                <c:formatCode>General</c:formatCode>
                <c:ptCount val="1000"/>
                <c:pt idx="0">
                  <c:v>198.40399201397781</c:v>
                </c:pt>
                <c:pt idx="1">
                  <c:v>196.81593622328541</c:v>
                </c:pt>
                <c:pt idx="2">
                  <c:v>195.23578512858137</c:v>
                </c:pt>
                <c:pt idx="3">
                  <c:v>193.66349156119924</c:v>
                </c:pt>
                <c:pt idx="4">
                  <c:v>192.09900868052154</c:v>
                </c:pt>
                <c:pt idx="5">
                  <c:v>190.54228997137193</c:v>
                </c:pt>
                <c:pt idx="6">
                  <c:v>188.99328924143725</c:v>
                </c:pt>
                <c:pt idx="7">
                  <c:v>187.45196061870519</c:v>
                </c:pt>
                <c:pt idx="8">
                  <c:v>185.91825854893216</c:v>
                </c:pt>
                <c:pt idx="9">
                  <c:v>184.39213779312649</c:v>
                </c:pt>
                <c:pt idx="10">
                  <c:v>182.87355342506072</c:v>
                </c:pt>
                <c:pt idx="11">
                  <c:v>181.36246082880029</c:v>
                </c:pt>
                <c:pt idx="12">
                  <c:v>179.85881569625866</c:v>
                </c:pt>
                <c:pt idx="13">
                  <c:v>178.36257402477048</c:v>
                </c:pt>
                <c:pt idx="14">
                  <c:v>176.87369211468979</c:v>
                </c:pt>
                <c:pt idx="15">
                  <c:v>175.39212656700471</c:v>
                </c:pt>
                <c:pt idx="16">
                  <c:v>173.9178342809796</c:v>
                </c:pt>
                <c:pt idx="17">
                  <c:v>172.45077245181119</c:v>
                </c:pt>
                <c:pt idx="18">
                  <c:v>170.99089856831142</c:v>
                </c:pt>
                <c:pt idx="19">
                  <c:v>169.53817041060569</c:v>
                </c:pt>
                <c:pt idx="20">
                  <c:v>168.09254604785548</c:v>
                </c:pt>
                <c:pt idx="21">
                  <c:v>166.65398383599728</c:v>
                </c:pt>
                <c:pt idx="22">
                  <c:v>165.22244241550578</c:v>
                </c:pt>
                <c:pt idx="23">
                  <c:v>163.7978807091713</c:v>
                </c:pt>
                <c:pt idx="24">
                  <c:v>162.38025791990202</c:v>
                </c:pt>
                <c:pt idx="25">
                  <c:v>160.96953352854121</c:v>
                </c:pt>
                <c:pt idx="26">
                  <c:v>159.56566729170686</c:v>
                </c:pt>
                <c:pt idx="27">
                  <c:v>158.16861923964717</c:v>
                </c:pt>
                <c:pt idx="28">
                  <c:v>156.77834967411803</c:v>
                </c:pt>
                <c:pt idx="29">
                  <c:v>155.39481916627557</c:v>
                </c:pt>
                <c:pt idx="30">
                  <c:v>154.0179885545902</c:v>
                </c:pt>
                <c:pt idx="31">
                  <c:v>152.64781894277638</c:v>
                </c:pt>
                <c:pt idx="32">
                  <c:v>151.28427169774233</c:v>
                </c:pt>
                <c:pt idx="33">
                  <c:v>149.92730844755567</c:v>
                </c:pt>
                <c:pt idx="34">
                  <c:v>148.57689107942895</c:v>
                </c:pt>
                <c:pt idx="35">
                  <c:v>147.23298173772008</c:v>
                </c:pt>
                <c:pt idx="36">
                  <c:v>145.89554282195292</c:v>
                </c:pt>
                <c:pt idx="37">
                  <c:v>144.5645369848516</c:v>
                </c:pt>
                <c:pt idx="38">
                  <c:v>143.23992713039632</c:v>
                </c:pt>
                <c:pt idx="39">
                  <c:v>141.9216764118903</c:v>
                </c:pt>
                <c:pt idx="40">
                  <c:v>140.60974823004977</c:v>
                </c:pt>
                <c:pt idx="41">
                  <c:v>139.30410623110436</c:v>
                </c:pt>
                <c:pt idx="42">
                  <c:v>138.00471430491905</c:v>
                </c:pt>
                <c:pt idx="43">
                  <c:v>136.71153658312733</c:v>
                </c:pt>
                <c:pt idx="44">
                  <c:v>135.42453743728595</c:v>
                </c:pt>
                <c:pt idx="45">
                  <c:v>134.14368147703965</c:v>
                </c:pt>
                <c:pt idx="46">
                  <c:v>132.86893354830744</c:v>
                </c:pt>
                <c:pt idx="47">
                  <c:v>131.60025873147845</c:v>
                </c:pt>
                <c:pt idx="48">
                  <c:v>130.33762233962972</c:v>
                </c:pt>
                <c:pt idx="49">
                  <c:v>129.0809899167528</c:v>
                </c:pt>
                <c:pt idx="50">
                  <c:v>127.83032723600053</c:v>
                </c:pt>
                <c:pt idx="51">
                  <c:v>126.58560029794597</c:v>
                </c:pt>
                <c:pt idx="52">
                  <c:v>125.34677532885792</c:v>
                </c:pt>
                <c:pt idx="53">
                  <c:v>124.11381877898884</c:v>
                </c:pt>
                <c:pt idx="54">
                  <c:v>122.88669732088061</c:v>
                </c:pt>
                <c:pt idx="55">
                  <c:v>121.66537784768116</c:v>
                </c:pt>
                <c:pt idx="56">
                  <c:v>120.4498274714789</c:v>
                </c:pt>
                <c:pt idx="57">
                  <c:v>119.24001352164777</c:v>
                </c:pt>
                <c:pt idx="58">
                  <c:v>118.03590354320966</c:v>
                </c:pt>
                <c:pt idx="59">
                  <c:v>116.83746529520818</c:v>
                </c:pt>
                <c:pt idx="60">
                  <c:v>115.64466674909795</c:v>
                </c:pt>
                <c:pt idx="61">
                  <c:v>114.45747608714589</c:v>
                </c:pt>
                <c:pt idx="62">
                  <c:v>113.275861700848</c:v>
                </c:pt>
                <c:pt idx="63">
                  <c:v>112.09979218935695</c:v>
                </c:pt>
                <c:pt idx="64">
                  <c:v>110.92923635792675</c:v>
                </c:pt>
                <c:pt idx="65">
                  <c:v>109.76416321636509</c:v>
                </c:pt>
                <c:pt idx="66">
                  <c:v>108.60454197750499</c:v>
                </c:pt>
                <c:pt idx="67">
                  <c:v>107.45034205568334</c:v>
                </c:pt>
                <c:pt idx="68">
                  <c:v>106.30153306523755</c:v>
                </c:pt>
                <c:pt idx="69">
                  <c:v>105.15808481901007</c:v>
                </c:pt>
                <c:pt idx="70">
                  <c:v>104.01996732686956</c:v>
                </c:pt>
                <c:pt idx="71">
                  <c:v>102.88715079424105</c:v>
                </c:pt>
                <c:pt idx="72">
                  <c:v>101.75960562065171</c:v>
                </c:pt>
                <c:pt idx="73">
                  <c:v>100.63730239828459</c:v>
                </c:pt>
                <c:pt idx="74">
                  <c:v>99.520211910549961</c:v>
                </c:pt>
                <c:pt idx="75">
                  <c:v>98.408305130662484</c:v>
                </c:pt>
                <c:pt idx="76">
                  <c:v>97.301553220235803</c:v>
                </c:pt>
                <c:pt idx="77">
                  <c:v>96.19992752788454</c:v>
                </c:pt>
                <c:pt idx="78">
                  <c:v>95.103399587841125</c:v>
                </c:pt>
                <c:pt idx="79">
                  <c:v>94.011941118581319</c:v>
                </c:pt>
                <c:pt idx="80">
                  <c:v>92.925524021464298</c:v>
                </c:pt>
                <c:pt idx="81">
                  <c:v>91.844120379380797</c:v>
                </c:pt>
                <c:pt idx="82">
                  <c:v>90.767702455415076</c:v>
                </c:pt>
                <c:pt idx="83">
                  <c:v>89.696242691516034</c:v>
                </c:pt>
                <c:pt idx="84">
                  <c:v>88.629713707181338</c:v>
                </c:pt>
                <c:pt idx="85">
                  <c:v>87.568088298149917</c:v>
                </c:pt>
                <c:pt idx="86">
                  <c:v>86.511339435108255</c:v>
                </c:pt>
                <c:pt idx="87">
                  <c:v>85.459440262403973</c:v>
                </c:pt>
                <c:pt idx="88">
                  <c:v>84.412364096773899</c:v>
                </c:pt>
                <c:pt idx="89">
                  <c:v>83.370084426078563</c:v>
                </c:pt>
                <c:pt idx="90">
                  <c:v>82.332574908050674</c:v>
                </c:pt>
                <c:pt idx="91">
                  <c:v>81.299809369051161</c:v>
                </c:pt>
                <c:pt idx="92">
                  <c:v>80.271761802837887</c:v>
                </c:pt>
                <c:pt idx="93">
                  <c:v>79.248406369341524</c:v>
                </c:pt>
                <c:pt idx="94">
                  <c:v>78.229717393455246</c:v>
                </c:pt>
                <c:pt idx="95">
                  <c:v>77.215669363830273</c:v>
                </c:pt>
                <c:pt idx="96">
                  <c:v>76.206236931685055</c:v>
                </c:pt>
                <c:pt idx="97">
                  <c:v>75.201394909620433</c:v>
                </c:pt>
                <c:pt idx="98">
                  <c:v>74.201118270448717</c:v>
                </c:pt>
                <c:pt idx="99">
                  <c:v>73.205382146028228</c:v>
                </c:pt>
                <c:pt idx="100">
                  <c:v>72.214161826110569</c:v>
                </c:pt>
                <c:pt idx="101">
                  <c:v>71.227432757194663</c:v>
                </c:pt>
                <c:pt idx="102">
                  <c:v>70.245170541393009</c:v>
                </c:pt>
                <c:pt idx="103">
                  <c:v>69.267350935303966</c:v>
                </c:pt>
                <c:pt idx="104">
                  <c:v>68.293949848895977</c:v>
                </c:pt>
                <c:pt idx="105">
                  <c:v>67.324943344399003</c:v>
                </c:pt>
                <c:pt idx="106">
                  <c:v>66.360307635206311</c:v>
                </c:pt>
                <c:pt idx="107">
                  <c:v>65.400019084783594</c:v>
                </c:pt>
                <c:pt idx="108">
                  <c:v>64.444054205589225</c:v>
                </c:pt>
                <c:pt idx="109">
                  <c:v>63.492389658000036</c:v>
                </c:pt>
                <c:pt idx="110">
                  <c:v>62.545002249249706</c:v>
                </c:pt>
                <c:pt idx="111">
                  <c:v>61.601868932371815</c:v>
                </c:pt>
                <c:pt idx="112">
                  <c:v>60.662966805154838</c:v>
                </c:pt>
                <c:pt idx="113">
                  <c:v>59.728273109102474</c:v>
                </c:pt>
                <c:pt idx="114">
                  <c:v>58.79776522840541</c:v>
                </c:pt>
                <c:pt idx="115">
                  <c:v>57.87142068891859</c:v>
                </c:pt>
                <c:pt idx="116">
                  <c:v>56.949217157149064</c:v>
                </c:pt>
                <c:pt idx="117">
                  <c:v>56.031132439249745</c:v>
                </c:pt>
                <c:pt idx="118">
                  <c:v>55.117144480023143</c:v>
                </c:pt>
                <c:pt idx="119">
                  <c:v>54.207231361932458</c:v>
                </c:pt>
                <c:pt idx="120">
                  <c:v>53.301371304120096</c:v>
                </c:pt>
                <c:pt idx="121">
                  <c:v>52.399542661434225</c:v>
                </c:pt>
                <c:pt idx="122">
                  <c:v>51.501723923463686</c:v>
                </c:pt>
                <c:pt idx="123">
                  <c:v>50.607893713580523</c:v>
                </c:pt>
                <c:pt idx="124">
                  <c:v>49.718030787989647</c:v>
                </c:pt>
                <c:pt idx="125">
                  <c:v>48.832114034785775</c:v>
                </c:pt>
                <c:pt idx="126">
                  <c:v>47.950122473019093</c:v>
                </c:pt>
                <c:pt idx="127">
                  <c:v>47.072035251767971</c:v>
                </c:pt>
                <c:pt idx="128">
                  <c:v>46.197831649218358</c:v>
                </c:pt>
                <c:pt idx="129">
                  <c:v>45.327491071750728</c:v>
                </c:pt>
                <c:pt idx="130">
                  <c:v>44.460993053034883</c:v>
                </c:pt>
                <c:pt idx="131">
                  <c:v>43.598317253131825</c:v>
                </c:pt>
                <c:pt idx="132">
                  <c:v>42.739443457602277</c:v>
                </c:pt>
                <c:pt idx="133">
                  <c:v>41.884351576622009</c:v>
                </c:pt>
                <c:pt idx="134">
                  <c:v>41.033021644105133</c:v>
                </c:pt>
                <c:pt idx="135">
                  <c:v>40.185433816833978</c:v>
                </c:pt>
                <c:pt idx="136">
                  <c:v>39.341568373595692</c:v>
                </c:pt>
                <c:pt idx="137">
                  <c:v>38.501405714325188</c:v>
                </c:pt>
                <c:pt idx="138">
                  <c:v>37.664926359255674</c:v>
                </c:pt>
                <c:pt idx="139">
                  <c:v>36.83211094807578</c:v>
                </c:pt>
                <c:pt idx="140">
                  <c:v>36.002940239093277</c:v>
                </c:pt>
                <c:pt idx="141">
                  <c:v>35.177395108404227</c:v>
                </c:pt>
                <c:pt idx="142">
                  <c:v>34.355456549070453</c:v>
                </c:pt>
                <c:pt idx="143">
                  <c:v>33.537105670302935</c:v>
                </c:pt>
                <c:pt idx="144">
                  <c:v>32.722323696650108</c:v>
                </c:pt>
                <c:pt idx="145">
                  <c:v>31.911091967195631</c:v>
                </c:pt>
                <c:pt idx="146">
                  <c:v>31.103391934758491</c:v>
                </c:pt>
                <c:pt idx="147">
                  <c:v>30.299205165103302</c:v>
                </c:pt>
                <c:pt idx="148">
                  <c:v>29.498513336153536</c:v>
                </c:pt>
                <c:pt idx="149">
                  <c:v>28.701298237213337</c:v>
                </c:pt>
                <c:pt idx="150">
                  <c:v>27.907541768193568</c:v>
                </c:pt>
                <c:pt idx="151">
                  <c:v>27.117225938845593</c:v>
                </c:pt>
                <c:pt idx="152">
                  <c:v>26.330332867998976</c:v>
                </c:pt>
                <c:pt idx="153">
                  <c:v>25.546844782807653</c:v>
                </c:pt>
                <c:pt idx="154">
                  <c:v>24.766744017999315</c:v>
                </c:pt>
                <c:pt idx="155">
                  <c:v>23.990013015132945</c:v>
                </c:pt>
                <c:pt idx="156">
                  <c:v>23.216634321860283</c:v>
                </c:pt>
                <c:pt idx="157">
                  <c:v>22.446590591194649</c:v>
                </c:pt>
                <c:pt idx="158">
                  <c:v>21.679864580783686</c:v>
                </c:pt>
                <c:pt idx="159">
                  <c:v>20.916439152189895</c:v>
                </c:pt>
                <c:pt idx="160">
                  <c:v>20.156297270174008</c:v>
                </c:pt>
                <c:pt idx="161">
                  <c:v>19.399422001986977</c:v>
                </c:pt>
                <c:pt idx="162">
                  <c:v>18.645796516664319</c:v>
                </c:pt>
                <c:pt idx="163">
                  <c:v>17.895404084329186</c:v>
                </c:pt>
                <c:pt idx="164">
                  <c:v>17.148228075497371</c:v>
                </c:pt>
                <c:pt idx="165">
                  <c:v>16.404251960390923</c:v>
                </c:pt>
                <c:pt idx="166">
                  <c:v>15.663459308253977</c:v>
                </c:pt>
                <c:pt idx="167">
                  <c:v>14.925833786677174</c:v>
                </c:pt>
                <c:pt idx="168">
                  <c:v>14.191359160923668</c:v>
                </c:pt>
                <c:pt idx="169">
                  <c:v>13.460019293263713</c:v>
                </c:pt>
                <c:pt idx="170">
                  <c:v>12.731798142311391</c:v>
                </c:pt>
                <c:pt idx="171">
                  <c:v>12.006679762369259</c:v>
                </c:pt>
                <c:pt idx="172">
                  <c:v>11.284648302775139</c:v>
                </c:pt>
                <c:pt idx="173">
                  <c:v>10.565688007256597</c:v>
                </c:pt>
                <c:pt idx="174">
                  <c:v>9.84978321328785</c:v>
                </c:pt>
                <c:pt idx="175">
                  <c:v>9.1369183514544829</c:v>
                </c:pt>
                <c:pt idx="176">
                  <c:v>8.4270779448193878</c:v>
                </c:pt>
                <c:pt idx="177">
                  <c:v>7.7202466082974581</c:v>
                </c:pt>
                <c:pt idx="178">
                  <c:v>7.0164090480317043</c:v>
                </c:pt>
                <c:pt idx="179">
                  <c:v>6.3155500607764736</c:v>
                </c:pt>
                <c:pt idx="180">
                  <c:v>5.6176545332835985</c:v>
                </c:pt>
                <c:pt idx="181">
                  <c:v>4.9227074416951098</c:v>
                </c:pt>
                <c:pt idx="182">
                  <c:v>4.2306938509381666</c:v>
                </c:pt>
                <c:pt idx="183">
                  <c:v>3.541598914127519</c:v>
                </c:pt>
                <c:pt idx="184">
                  <c:v>2.8554078719691063</c:v>
                </c:pt>
                <c:pt idx="185">
                  <c:v>2.1721060521716993</c:v>
                </c:pt>
                <c:pt idx="186">
                  <c:v>1.4916788688598785</c:v>
                </c:pt>
                <c:pt idx="187">
                  <c:v>0.81411182199397558</c:v>
                </c:pt>
                <c:pt idx="188">
                  <c:v>0.13939049679214577</c:v>
                </c:pt>
                <c:pt idx="189">
                  <c:v>-0.53249943684090795</c:v>
                </c:pt>
                <c:pt idx="190">
                  <c:v>-1.2015722248831651</c:v>
                </c:pt>
                <c:pt idx="191">
                  <c:v>-1.8678420297581511</c:v>
                </c:pt>
                <c:pt idx="192">
                  <c:v>-2.5313229308954703</c:v>
                </c:pt>
                <c:pt idx="193">
                  <c:v>-3.1920289252850864</c:v>
                </c:pt>
                <c:pt idx="194">
                  <c:v>-3.8499739280296978</c:v>
                </c:pt>
                <c:pt idx="195">
                  <c:v>-4.5051717728908329</c:v>
                </c:pt>
                <c:pt idx="196">
                  <c:v>-5.1576362128324433</c:v>
                </c:pt>
                <c:pt idx="197">
                  <c:v>-5.8073809205592681</c:v>
                </c:pt>
                <c:pt idx="198">
                  <c:v>-6.4544194890522704</c:v>
                </c:pt>
                <c:pt idx="199">
                  <c:v>-7.0987654320987588</c:v>
                </c:pt>
                <c:pt idx="200">
                  <c:v>-7.7404321848200368</c:v>
                </c:pt>
                <c:pt idx="201">
                  <c:v>-8.3794331041933106</c:v>
                </c:pt>
                <c:pt idx="202">
                  <c:v>-9.0157814695719765</c:v>
                </c:pt>
                <c:pt idx="203">
                  <c:v>-9.6494904831993722</c:v>
                </c:pt>
                <c:pt idx="204">
                  <c:v>-10.280573270721504</c:v>
                </c:pt>
                <c:pt idx="205">
                  <c:v>-10.909042881693011</c:v>
                </c:pt>
                <c:pt idx="206">
                  <c:v>-11.53491229008236</c:v>
                </c:pt>
                <c:pt idx="207">
                  <c:v>-12.158194394770305</c:v>
                </c:pt>
                <c:pt idx="208">
                  <c:v>-12.778902020047724</c:v>
                </c:pt>
                <c:pt idx="209">
                  <c:v>-13.397047916106629</c:v>
                </c:pt>
                <c:pt idx="210">
                  <c:v>-14.012644759530332</c:v>
                </c:pt>
                <c:pt idx="211">
                  <c:v>-14.625705153777744</c:v>
                </c:pt>
                <c:pt idx="212">
                  <c:v>-15.236241629665699</c:v>
                </c:pt>
                <c:pt idx="213">
                  <c:v>-15.844266645846687</c:v>
                </c:pt>
                <c:pt idx="214">
                  <c:v>-16.449792589283788</c:v>
                </c:pt>
                <c:pt idx="215">
                  <c:v>-17.052831775721103</c:v>
                </c:pt>
                <c:pt idx="216">
                  <c:v>-17.653396450152115</c:v>
                </c:pt>
                <c:pt idx="217">
                  <c:v>-18.251498787283168</c:v>
                </c:pt>
                <c:pt idx="218">
                  <c:v>-18.847150891994744</c:v>
                </c:pt>
                <c:pt idx="219">
                  <c:v>-19.440364799797976</c:v>
                </c:pt>
                <c:pt idx="220">
                  <c:v>-20.031152477289794</c:v>
                </c:pt>
                <c:pt idx="221">
                  <c:v>-20.619525822602043</c:v>
                </c:pt>
                <c:pt idx="222">
                  <c:v>-21.205496665850404</c:v>
                </c:pt>
                <c:pt idx="223">
                  <c:v>-21.789076769576724</c:v>
                </c:pt>
                <c:pt idx="224">
                  <c:v>-22.370277829191394</c:v>
                </c:pt>
                <c:pt idx="225">
                  <c:v>-22.949111473409374</c:v>
                </c:pt>
                <c:pt idx="226">
                  <c:v>-23.525589264685976</c:v>
                </c:pt>
                <c:pt idx="227">
                  <c:v>-24.099722699646549</c:v>
                </c:pt>
                <c:pt idx="228">
                  <c:v>-24.671523209515669</c:v>
                </c:pt>
                <c:pt idx="229">
                  <c:v>-25.241002160541115</c:v>
                </c:pt>
                <c:pt idx="230">
                  <c:v>-25.808170854416346</c:v>
                </c:pt>
                <c:pt idx="231">
                  <c:v>-26.373040528698539</c:v>
                </c:pt>
                <c:pt idx="232">
                  <c:v>-26.935622357224645</c:v>
                </c:pt>
                <c:pt idx="233">
                  <c:v>-27.495927450523766</c:v>
                </c:pt>
                <c:pt idx="234">
                  <c:v>-28.053966856226879</c:v>
                </c:pt>
                <c:pt idx="235">
                  <c:v>-28.60975155947358</c:v>
                </c:pt>
                <c:pt idx="236">
                  <c:v>-29.163292483315189</c:v>
                </c:pt>
                <c:pt idx="237">
                  <c:v>-29.714600489115867</c:v>
                </c:pt>
                <c:pt idx="238">
                  <c:v>-30.263686376950744</c:v>
                </c:pt>
                <c:pt idx="239">
                  <c:v>-30.810560886000445</c:v>
                </c:pt>
                <c:pt idx="240">
                  <c:v>-31.355234694942965</c:v>
                </c:pt>
                <c:pt idx="241">
                  <c:v>-31.897718422343331</c:v>
                </c:pt>
                <c:pt idx="242">
                  <c:v>-32.438022627039999</c:v>
                </c:pt>
                <c:pt idx="243">
                  <c:v>-32.976157808528484</c:v>
                </c:pt>
                <c:pt idx="244">
                  <c:v>-33.512134407341705</c:v>
                </c:pt>
                <c:pt idx="245">
                  <c:v>-34.045962805428701</c:v>
                </c:pt>
                <c:pt idx="246">
                  <c:v>-34.577653326529884</c:v>
                </c:pt>
                <c:pt idx="247">
                  <c:v>-35.107216236549789</c:v>
                </c:pt>
                <c:pt idx="248">
                  <c:v>-35.634661743926614</c:v>
                </c:pt>
                <c:pt idx="249">
                  <c:v>-36.159999999999997</c:v>
                </c:pt>
                <c:pt idx="250">
                  <c:v>-36.683241099375721</c:v>
                </c:pt>
                <c:pt idx="251">
                  <c:v>-37.204395080287838</c:v>
                </c:pt>
                <c:pt idx="252">
                  <c:v>-37.723471924957579</c:v>
                </c:pt>
                <c:pt idx="253">
                  <c:v>-38.240481559950894</c:v>
                </c:pt>
                <c:pt idx="254">
                  <c:v>-38.755433856532733</c:v>
                </c:pt>
                <c:pt idx="255">
                  <c:v>-39.268338631018707</c:v>
                </c:pt>
                <c:pt idx="256">
                  <c:v>-39.77920564512425</c:v>
                </c:pt>
                <c:pt idx="257">
                  <c:v>-40.28804460631153</c:v>
                </c:pt>
                <c:pt idx="258">
                  <c:v>-40.794865168134038</c:v>
                </c:pt>
                <c:pt idx="259">
                  <c:v>-41.299676930578329</c:v>
                </c:pt>
                <c:pt idx="260">
                  <c:v>-41.802489440403093</c:v>
                </c:pt>
                <c:pt idx="261">
                  <c:v>-42.303312191476437</c:v>
                </c:pt>
                <c:pt idx="262">
                  <c:v>-42.802154625110859</c:v>
                </c:pt>
                <c:pt idx="263">
                  <c:v>-43.299026130394964</c:v>
                </c:pt>
                <c:pt idx="264">
                  <c:v>-43.793936044523434</c:v>
                </c:pt>
                <c:pt idx="265">
                  <c:v>-44.286893653124736</c:v>
                </c:pt>
                <c:pt idx="266">
                  <c:v>-44.777908190586231</c:v>
                </c:pt>
                <c:pt idx="267">
                  <c:v>-45.26698884037728</c:v>
                </c:pt>
                <c:pt idx="268">
                  <c:v>-45.754144735369408</c:v>
                </c:pt>
                <c:pt idx="269">
                  <c:v>-46.239384958154858</c:v>
                </c:pt>
                <c:pt idx="270">
                  <c:v>-46.722718541363179</c:v>
                </c:pt>
                <c:pt idx="271">
                  <c:v>-47.204154467974433</c:v>
                </c:pt>
                <c:pt idx="272">
                  <c:v>-47.683701671630956</c:v>
                </c:pt>
                <c:pt idx="273">
                  <c:v>-48.161369036946923</c:v>
                </c:pt>
                <c:pt idx="274">
                  <c:v>-48.637165399815871</c:v>
                </c:pt>
                <c:pt idx="275">
                  <c:v>-49.111099547715412</c:v>
                </c:pt>
                <c:pt idx="276">
                  <c:v>-49.583180220010235</c:v>
                </c:pt>
                <c:pt idx="277">
                  <c:v>-50.053416108252947</c:v>
                </c:pt>
                <c:pt idx="278">
                  <c:v>-50.52181585648313</c:v>
                </c:pt>
                <c:pt idx="279">
                  <c:v>-50.988388061523438</c:v>
                </c:pt>
                <c:pt idx="280">
                  <c:v>-51.453141273274468</c:v>
                </c:pt>
                <c:pt idx="281">
                  <c:v>-51.916083995006886</c:v>
                </c:pt>
                <c:pt idx="282">
                  <c:v>-52.377224683652344</c:v>
                </c:pt>
                <c:pt idx="283">
                  <c:v>-52.836571750091593</c:v>
                </c:pt>
                <c:pt idx="284">
                  <c:v>-53.294133559440468</c:v>
                </c:pt>
                <c:pt idx="285">
                  <c:v>-53.749918431335061</c:v>
                </c:pt>
                <c:pt idx="286">
                  <c:v>-54.203934640213276</c:v>
                </c:pt>
                <c:pt idx="287">
                  <c:v>-54.656190415596029</c:v>
                </c:pt>
                <c:pt idx="288">
                  <c:v>-55.106693942364672</c:v>
                </c:pt>
                <c:pt idx="289">
                  <c:v>-55.555453361038843</c:v>
                </c:pt>
                <c:pt idx="290">
                  <c:v>-56.002476768049604</c:v>
                </c:pt>
                <c:pt idx="291">
                  <c:v>-56.447772216013448</c:v>
                </c:pt>
                <c:pt idx="292">
                  <c:v>-56.891347714001967</c:v>
                </c:pt>
                <c:pt idx="293">
                  <c:v>-57.333211227811518</c:v>
                </c:pt>
                <c:pt idx="294">
                  <c:v>-57.773370680229789</c:v>
                </c:pt>
                <c:pt idx="295">
                  <c:v>-58.211833951301429</c:v>
                </c:pt>
                <c:pt idx="296">
                  <c:v>-58.64860887859075</c:v>
                </c:pt>
                <c:pt idx="297">
                  <c:v>-59.083703257443887</c:v>
                </c:pt>
                <c:pt idx="298">
                  <c:v>-59.517124841248034</c:v>
                </c:pt>
                <c:pt idx="299">
                  <c:v>-59.948881341689741</c:v>
                </c:pt>
                <c:pt idx="300">
                  <c:v>-60.378980429010596</c:v>
                </c:pt>
                <c:pt idx="301">
                  <c:v>-60.807429732262136</c:v>
                </c:pt>
                <c:pt idx="302">
                  <c:v>-61.234236839557809</c:v>
                </c:pt>
                <c:pt idx="303">
                  <c:v>-61.659409298324505</c:v>
                </c:pt>
                <c:pt idx="304">
                  <c:v>-62.082954615550989</c:v>
                </c:pt>
                <c:pt idx="305">
                  <c:v>-62.504880258036167</c:v>
                </c:pt>
                <c:pt idx="306">
                  <c:v>-62.925193652633851</c:v>
                </c:pt>
                <c:pt idx="307">
                  <c:v>-63.343902186497616</c:v>
                </c:pt>
                <c:pt idx="308">
                  <c:v>-63.76101320732252</c:v>
                </c:pt>
                <c:pt idx="309">
                  <c:v>-64.176534023586413</c:v>
                </c:pt>
                <c:pt idx="310">
                  <c:v>-64.590471904788274</c:v>
                </c:pt>
                <c:pt idx="311">
                  <c:v>-65.002834081686331</c:v>
                </c:pt>
                <c:pt idx="312">
                  <c:v>-65.413627746533194</c:v>
                </c:pt>
                <c:pt idx="313">
                  <c:v>-65.822860053310563</c:v>
                </c:pt>
                <c:pt idx="314">
                  <c:v>-66.23053811796126</c:v>
                </c:pt>
                <c:pt idx="315">
                  <c:v>-66.636669018620864</c:v>
                </c:pt>
                <c:pt idx="316">
                  <c:v>-67.041259795846287</c:v>
                </c:pt>
                <c:pt idx="317">
                  <c:v>-67.444317452844416</c:v>
                </c:pt>
                <c:pt idx="318">
                  <c:v>-67.84584895569779</c:v>
                </c:pt>
                <c:pt idx="319">
                  <c:v>-68.245861233589778</c:v>
                </c:pt>
                <c:pt idx="320">
                  <c:v>-68.644361179027328</c:v>
                </c:pt>
                <c:pt idx="321">
                  <c:v>-69.041355648063217</c:v>
                </c:pt>
                <c:pt idx="322">
                  <c:v>-69.436851460515555</c:v>
                </c:pt>
                <c:pt idx="323">
                  <c:v>-69.830855400187318</c:v>
                </c:pt>
                <c:pt idx="324">
                  <c:v>-70.223374215082714</c:v>
                </c:pt>
                <c:pt idx="325">
                  <c:v>-70.614414617623481</c:v>
                </c:pt>
                <c:pt idx="326">
                  <c:v>-71.003983284862841</c:v>
                </c:pt>
                <c:pt idx="327">
                  <c:v>-71.392086858698661</c:v>
                </c:pt>
                <c:pt idx="328">
                  <c:v>-71.778731946084321</c:v>
                </c:pt>
                <c:pt idx="329">
                  <c:v>-72.163925119239366</c:v>
                </c:pt>
                <c:pt idx="330">
                  <c:v>-72.547672915857277</c:v>
                </c:pt>
                <c:pt idx="331">
                  <c:v>-72.929981839313257</c:v>
                </c:pt>
                <c:pt idx="332">
                  <c:v>-73.31085835886941</c:v>
                </c:pt>
                <c:pt idx="333">
                  <c:v>-73.690308909879633</c:v>
                </c:pt>
                <c:pt idx="334">
                  <c:v>-74.068339893992075</c:v>
                </c:pt>
                <c:pt idx="335">
                  <c:v>-74.444957679351162</c:v>
                </c:pt>
                <c:pt idx="336">
                  <c:v>-74.820168600797402</c:v>
                </c:pt>
                <c:pt idx="337">
                  <c:v>-75.193978960066843</c:v>
                </c:pt>
                <c:pt idx="338">
                  <c:v>-75.566395025988029</c:v>
                </c:pt>
                <c:pt idx="339">
                  <c:v>-75.937423034678858</c:v>
                </c:pt>
                <c:pt idx="340">
                  <c:v>-76.307069189740844</c:v>
                </c:pt>
                <c:pt idx="341">
                  <c:v>-76.67533966245341</c:v>
                </c:pt>
                <c:pt idx="342">
                  <c:v>-77.042240591965637</c:v>
                </c:pt>
                <c:pt idx="343">
                  <c:v>-77.407778085487735</c:v>
                </c:pt>
                <c:pt idx="344">
                  <c:v>-77.771958218480606</c:v>
                </c:pt>
                <c:pt idx="345">
                  <c:v>-78.134787034844223</c:v>
                </c:pt>
                <c:pt idx="346">
                  <c:v>-78.496270547104984</c:v>
                </c:pt>
                <c:pt idx="347">
                  <c:v>-78.856414736601863</c:v>
                </c:pt>
                <c:pt idx="348">
                  <c:v>-79.215225553671033</c:v>
                </c:pt>
                <c:pt idx="349">
                  <c:v>-79.572708917829104</c:v>
                </c:pt>
                <c:pt idx="350">
                  <c:v>-79.92887071795576</c:v>
                </c:pt>
                <c:pt idx="351">
                  <c:v>-80.283716812474907</c:v>
                </c:pt>
                <c:pt idx="352">
                  <c:v>-80.637253029534264</c:v>
                </c:pt>
                <c:pt idx="353">
                  <c:v>-80.989485167184156</c:v>
                </c:pt>
                <c:pt idx="354">
                  <c:v>-81.340418993555019</c:v>
                </c:pt>
                <c:pt idx="355">
                  <c:v>-81.690060247033799</c:v>
                </c:pt>
                <c:pt idx="356">
                  <c:v>-82.038414636439143</c:v>
                </c:pt>
                <c:pt idx="357">
                  <c:v>-82.385487841195129</c:v>
                </c:pt>
                <c:pt idx="358">
                  <c:v>-82.731285511504225</c:v>
                </c:pt>
                <c:pt idx="359">
                  <c:v>-83.075813268519255</c:v>
                </c:pt>
                <c:pt idx="360">
                  <c:v>-83.419076704513714</c:v>
                </c:pt>
                <c:pt idx="361">
                  <c:v>-83.761081383051192</c:v>
                </c:pt>
                <c:pt idx="362">
                  <c:v>-84.101832839153616</c:v>
                </c:pt>
                <c:pt idx="363">
                  <c:v>-84.441336579468867</c:v>
                </c:pt>
                <c:pt idx="364">
                  <c:v>-84.779598082436593</c:v>
                </c:pt>
                <c:pt idx="365">
                  <c:v>-85.116622798453179</c:v>
                </c:pt>
                <c:pt idx="366">
                  <c:v>-85.452416150035674</c:v>
                </c:pt>
                <c:pt idx="367">
                  <c:v>-85.786983531984973</c:v>
                </c:pt>
                <c:pt idx="368">
                  <c:v>-86.120330311547349</c:v>
                </c:pt>
                <c:pt idx="369">
                  <c:v>-86.452461828575096</c:v>
                </c:pt>
                <c:pt idx="370">
                  <c:v>-86.783383395686272</c:v>
                </c:pt>
                <c:pt idx="371">
                  <c:v>-87.113100298423575</c:v>
                </c:pt>
                <c:pt idx="372">
                  <c:v>-87.441617795411659</c:v>
                </c:pt>
                <c:pt idx="373">
                  <c:v>-87.768941118513666</c:v>
                </c:pt>
                <c:pt idx="374">
                  <c:v>-88.095075472986821</c:v>
                </c:pt>
                <c:pt idx="375">
                  <c:v>-88.420026037637143</c:v>
                </c:pt>
                <c:pt idx="376">
                  <c:v>-88.743797964972757</c:v>
                </c:pt>
                <c:pt idx="377">
                  <c:v>-89.066396381356341</c:v>
                </c:pt>
                <c:pt idx="378">
                  <c:v>-89.387826387156679</c:v>
                </c:pt>
                <c:pt idx="379">
                  <c:v>-89.708093056899429</c:v>
                </c:pt>
                <c:pt idx="380">
                  <c:v>-90.027201439416416</c:v>
                </c:pt>
                <c:pt idx="381">
                  <c:v>-90.345156557994144</c:v>
                </c:pt>
                <c:pt idx="382">
                  <c:v>-90.661963410521551</c:v>
                </c:pt>
                <c:pt idx="383">
                  <c:v>-90.977626969636759</c:v>
                </c:pt>
                <c:pt idx="384">
                  <c:v>-91.292152182872584</c:v>
                </c:pt>
                <c:pt idx="385">
                  <c:v>-91.6055439728013</c:v>
                </c:pt>
                <c:pt idx="386">
                  <c:v>-91.917807237178408</c:v>
                </c:pt>
                <c:pt idx="387">
                  <c:v>-92.228946849085801</c:v>
                </c:pt>
                <c:pt idx="388">
                  <c:v>-92.538967657073471</c:v>
                </c:pt>
                <c:pt idx="389">
                  <c:v>-92.847874485300494</c:v>
                </c:pt>
                <c:pt idx="390">
                  <c:v>-93.155672133675267</c:v>
                </c:pt>
                <c:pt idx="391">
                  <c:v>-93.462365377994828</c:v>
                </c:pt>
                <c:pt idx="392">
                  <c:v>-93.767958970083114</c:v>
                </c:pt>
                <c:pt idx="393">
                  <c:v>-94.072457637928153</c:v>
                </c:pt>
                <c:pt idx="394">
                  <c:v>-94.375866085818899</c:v>
                </c:pt>
                <c:pt idx="395">
                  <c:v>-94.678188994480863</c:v>
                </c:pt>
                <c:pt idx="396">
                  <c:v>-94.979431021210914</c:v>
                </c:pt>
                <c:pt idx="397">
                  <c:v>-95.279596800010935</c:v>
                </c:pt>
                <c:pt idx="398">
                  <c:v>-95.578690941721135</c:v>
                </c:pt>
                <c:pt idx="399">
                  <c:v>-95.876718034152404</c:v>
                </c:pt>
                <c:pt idx="400">
                  <c:v>-96.1736826422174</c:v>
                </c:pt>
                <c:pt idx="401">
                  <c:v>-96.469589308061074</c:v>
                </c:pt>
                <c:pt idx="402">
                  <c:v>-96.764442551190427</c:v>
                </c:pt>
                <c:pt idx="403">
                  <c:v>-97.058246868603547</c:v>
                </c:pt>
                <c:pt idx="404">
                  <c:v>-97.351006734917377</c:v>
                </c:pt>
                <c:pt idx="405">
                  <c:v>-97.642726602495003</c:v>
                </c:pt>
                <c:pt idx="406">
                  <c:v>-97.933410901571932</c:v>
                </c:pt>
                <c:pt idx="407">
                  <c:v>-98.223064040382084</c:v>
                </c:pt>
                <c:pt idx="408">
                  <c:v>-98.511690405282195</c:v>
                </c:pt>
                <c:pt idx="409">
                  <c:v>-98.799294360875791</c:v>
                </c:pt>
                <c:pt idx="410">
                  <c:v>-99.085880250136768</c:v>
                </c:pt>
                <c:pt idx="411">
                  <c:v>-99.371452394531303</c:v>
                </c:pt>
                <c:pt idx="412">
                  <c:v>-99.656015094140031</c:v>
                </c:pt>
                <c:pt idx="413">
                  <c:v>-99.939572627778375</c:v>
                </c:pt>
                <c:pt idx="414">
                  <c:v>-100.22212925311716</c:v>
                </c:pt>
                <c:pt idx="415">
                  <c:v>-100.50368920680145</c:v>
                </c:pt>
                <c:pt idx="416">
                  <c:v>-100.78425670456964</c:v>
                </c:pt>
                <c:pt idx="417">
                  <c:v>-101.06383594137075</c:v>
                </c:pt>
                <c:pt idx="418">
                  <c:v>-101.34243109148201</c:v>
                </c:pt>
                <c:pt idx="419">
                  <c:v>-101.62004630862475</c:v>
                </c:pt>
                <c:pt idx="420">
                  <c:v>-101.89668572608041</c:v>
                </c:pt>
                <c:pt idx="421">
                  <c:v>-102.17235345680501</c:v>
                </c:pt>
                <c:pt idx="422">
                  <c:v>-102.44705359354374</c:v>
                </c:pt>
                <c:pt idx="423">
                  <c:v>-102.72079020894391</c:v>
                </c:pt>
                <c:pt idx="424">
                  <c:v>-102.99356735566813</c:v>
                </c:pt>
                <c:pt idx="425">
                  <c:v>-103.26538906650585</c:v>
                </c:pt>
                <c:pt idx="426">
                  <c:v>-103.53625935448513</c:v>
                </c:pt>
                <c:pt idx="427">
                  <c:v>-103.80618221298266</c:v>
                </c:pt>
                <c:pt idx="428">
                  <c:v>-104.0751616158344</c:v>
                </c:pt>
                <c:pt idx="429">
                  <c:v>-104.34320151744394</c:v>
                </c:pt>
                <c:pt idx="430">
                  <c:v>-104.61030585289181</c:v>
                </c:pt>
                <c:pt idx="431">
                  <c:v>-104.87647853804273</c:v>
                </c:pt>
                <c:pt idx="432">
                  <c:v>-105.1417234696531</c:v>
                </c:pt>
                <c:pt idx="433">
                  <c:v>-105.40604452547726</c:v>
                </c:pt>
                <c:pt idx="434">
                  <c:v>-105.66944556437373</c:v>
                </c:pt>
                <c:pt idx="435">
                  <c:v>-105.93193042640976</c:v>
                </c:pt>
                <c:pt idx="436">
                  <c:v>-106.19350293296638</c:v>
                </c:pt>
                <c:pt idx="437">
                  <c:v>-106.45416688684193</c:v>
                </c:pt>
                <c:pt idx="438">
                  <c:v>-106.71392607235539</c:v>
                </c:pt>
                <c:pt idx="439">
                  <c:v>-106.97278425544886</c:v>
                </c:pt>
                <c:pt idx="440">
                  <c:v>-107.23074518378962</c:v>
                </c:pt>
                <c:pt idx="441">
                  <c:v>-107.4878125868712</c:v>
                </c:pt>
                <c:pt idx="442">
                  <c:v>-107.74399017611425</c:v>
                </c:pt>
                <c:pt idx="443">
                  <c:v>-107.99928164496633</c:v>
                </c:pt>
                <c:pt idx="444">
                  <c:v>-108.25369066900159</c:v>
                </c:pt>
                <c:pt idx="445">
                  <c:v>-108.50722090601924</c:v>
                </c:pt>
                <c:pt idx="446">
                  <c:v>-108.75987599614201</c:v>
                </c:pt>
                <c:pt idx="447">
                  <c:v>-109.01165956191348</c:v>
                </c:pt>
                <c:pt idx="448">
                  <c:v>-109.26257520839525</c:v>
                </c:pt>
                <c:pt idx="449">
                  <c:v>-109.51262652326302</c:v>
                </c:pt>
                <c:pt idx="450">
                  <c:v>-109.76181707690267</c:v>
                </c:pt>
                <c:pt idx="451">
                  <c:v>-110.01015042250512</c:v>
                </c:pt>
                <c:pt idx="452">
                  <c:v>-110.25763009616115</c:v>
                </c:pt>
                <c:pt idx="453">
                  <c:v>-110.50425961695511</c:v>
                </c:pt>
                <c:pt idx="454">
                  <c:v>-110.75004248705881</c:v>
                </c:pt>
                <c:pt idx="455">
                  <c:v>-110.99498219182364</c:v>
                </c:pt>
                <c:pt idx="456">
                  <c:v>-111.23908219987356</c:v>
                </c:pt>
                <c:pt idx="457">
                  <c:v>-111.48234596319624</c:v>
                </c:pt>
                <c:pt idx="458">
                  <c:v>-111.72477691723464</c:v>
                </c:pt>
                <c:pt idx="459">
                  <c:v>-111.96637848097701</c:v>
                </c:pt>
                <c:pt idx="460">
                  <c:v>-112.20715405704763</c:v>
                </c:pt>
                <c:pt idx="461">
                  <c:v>-112.44710703179547</c:v>
                </c:pt>
                <c:pt idx="462">
                  <c:v>-112.68624077538377</c:v>
                </c:pt>
                <c:pt idx="463">
                  <c:v>-112.92455864187789</c:v>
                </c:pt>
                <c:pt idx="464">
                  <c:v>-113.16206396933357</c:v>
                </c:pt>
                <c:pt idx="465">
                  <c:v>-113.39876007988379</c:v>
                </c:pt>
                <c:pt idx="466">
                  <c:v>-113.63465027982581</c:v>
                </c:pt>
                <c:pt idx="467">
                  <c:v>-113.86973785970721</c:v>
                </c:pt>
                <c:pt idx="468">
                  <c:v>-114.10402609441172</c:v>
                </c:pt>
                <c:pt idx="469">
                  <c:v>-114.33751824324426</c:v>
                </c:pt>
                <c:pt idx="470">
                  <c:v>-114.5702175500156</c:v>
                </c:pt>
                <c:pt idx="471">
                  <c:v>-114.80212724312645</c:v>
                </c:pt>
                <c:pt idx="472">
                  <c:v>-115.03325053565121</c:v>
                </c:pt>
                <c:pt idx="473">
                  <c:v>-115.26359062542096</c:v>
                </c:pt>
                <c:pt idx="474">
                  <c:v>-115.49315069510598</c:v>
                </c:pt>
                <c:pt idx="475">
                  <c:v>-115.721933912298</c:v>
                </c:pt>
                <c:pt idx="476">
                  <c:v>-115.94994342959168</c:v>
                </c:pt>
                <c:pt idx="477">
                  <c:v>-116.17718238466577</c:v>
                </c:pt>
                <c:pt idx="478">
                  <c:v>-116.40365390036365</c:v>
                </c:pt>
                <c:pt idx="479">
                  <c:v>-116.62936108477339</c:v>
                </c:pt>
                <c:pt idx="480">
                  <c:v>-116.85430703130756</c:v>
                </c:pt>
                <c:pt idx="481">
                  <c:v>-117.0784948187823</c:v>
                </c:pt>
                <c:pt idx="482">
                  <c:v>-117.30192751149573</c:v>
                </c:pt>
                <c:pt idx="483">
                  <c:v>-117.52460815930647</c:v>
                </c:pt>
                <c:pt idx="484">
                  <c:v>-117.74653979771124</c:v>
                </c:pt>
                <c:pt idx="485">
                  <c:v>-117.96772544792211</c:v>
                </c:pt>
                <c:pt idx="486">
                  <c:v>-118.18816811694315</c:v>
                </c:pt>
                <c:pt idx="487">
                  <c:v>-118.40787079764682</c:v>
                </c:pt>
                <c:pt idx="488">
                  <c:v>-118.62683646884993</c:v>
                </c:pt>
                <c:pt idx="489">
                  <c:v>-118.84506809538895</c:v>
                </c:pt>
                <c:pt idx="490">
                  <c:v>-119.06256862819488</c:v>
                </c:pt>
                <c:pt idx="491">
                  <c:v>-119.27934100436767</c:v>
                </c:pt>
                <c:pt idx="492">
                  <c:v>-119.49538814725058</c:v>
                </c:pt>
                <c:pt idx="493">
                  <c:v>-119.71071296650351</c:v>
                </c:pt>
                <c:pt idx="494">
                  <c:v>-119.92531835817611</c:v>
                </c:pt>
                <c:pt idx="495">
                  <c:v>-120.1392072047806</c:v>
                </c:pt>
                <c:pt idx="496">
                  <c:v>-120.35238237536413</c:v>
                </c:pt>
                <c:pt idx="497">
                  <c:v>-120.56484672558045</c:v>
                </c:pt>
                <c:pt idx="498">
                  <c:v>-120.77660309776138</c:v>
                </c:pt>
                <c:pt idx="499">
                  <c:v>-120.98765432098766</c:v>
                </c:pt>
                <c:pt idx="500">
                  <c:v>-121.19800321115984</c:v>
                </c:pt>
                <c:pt idx="501">
                  <c:v>-121.40765257106814</c:v>
                </c:pt>
                <c:pt idx="502">
                  <c:v>-121.61660519046218</c:v>
                </c:pt>
                <c:pt idx="503">
                  <c:v>-121.82486384612027</c:v>
                </c:pt>
                <c:pt idx="504">
                  <c:v>-122.03243130191846</c:v>
                </c:pt>
                <c:pt idx="505">
                  <c:v>-122.23931030889891</c:v>
                </c:pt>
                <c:pt idx="506">
                  <c:v>-122.44550360533783</c:v>
                </c:pt>
                <c:pt idx="507">
                  <c:v>-122.6510139168132</c:v>
                </c:pt>
                <c:pt idx="508">
                  <c:v>-122.85584395627221</c:v>
                </c:pt>
                <c:pt idx="509">
                  <c:v>-123.05999642409793</c:v>
                </c:pt>
                <c:pt idx="510">
                  <c:v>-123.26347400817575</c:v>
                </c:pt>
                <c:pt idx="511">
                  <c:v>-123.46627938395947</c:v>
                </c:pt>
                <c:pt idx="512">
                  <c:v>-123.66841521453703</c:v>
                </c:pt>
                <c:pt idx="513">
                  <c:v>-123.86988415069582</c:v>
                </c:pt>
                <c:pt idx="514">
                  <c:v>-124.07068883098738</c:v>
                </c:pt>
                <c:pt idx="515">
                  <c:v>-124.27083188179196</c:v>
                </c:pt>
                <c:pt idx="516">
                  <c:v>-124.47031591738291</c:v>
                </c:pt>
                <c:pt idx="517">
                  <c:v>-124.66914353999009</c:v>
                </c:pt>
                <c:pt idx="518">
                  <c:v>-124.86731733986328</c:v>
                </c:pt>
                <c:pt idx="519">
                  <c:v>-125.06483989533537</c:v>
                </c:pt>
                <c:pt idx="520">
                  <c:v>-125.2617137728848</c:v>
                </c:pt>
                <c:pt idx="521">
                  <c:v>-125.45794152719796</c:v>
                </c:pt>
                <c:pt idx="522">
                  <c:v>-125.65352570123085</c:v>
                </c:pt>
                <c:pt idx="523">
                  <c:v>-125.84846882627069</c:v>
                </c:pt>
                <c:pt idx="524">
                  <c:v>-126.04277342199724</c:v>
                </c:pt>
                <c:pt idx="525">
                  <c:v>-126.23644199654348</c:v>
                </c:pt>
                <c:pt idx="526">
                  <c:v>-126.42947704655585</c:v>
                </c:pt>
                <c:pt idx="527">
                  <c:v>-126.62188105725453</c:v>
                </c:pt>
                <c:pt idx="528">
                  <c:v>-126.81365650249329</c:v>
                </c:pt>
                <c:pt idx="529">
                  <c:v>-127.00480584481863</c:v>
                </c:pt>
                <c:pt idx="530">
                  <c:v>-127.19533153552885</c:v>
                </c:pt>
                <c:pt idx="531">
                  <c:v>-127.38523601473268</c:v>
                </c:pt>
                <c:pt idx="532">
                  <c:v>-127.57452171140793</c:v>
                </c:pt>
                <c:pt idx="533">
                  <c:v>-127.76319104345913</c:v>
                </c:pt>
                <c:pt idx="534">
                  <c:v>-127.95124641777525</c:v>
                </c:pt>
                <c:pt idx="535">
                  <c:v>-128.13869023028715</c:v>
                </c:pt>
                <c:pt idx="536">
                  <c:v>-128.32552486602449</c:v>
                </c:pt>
                <c:pt idx="537">
                  <c:v>-128.5117526991724</c:v>
                </c:pt>
                <c:pt idx="538">
                  <c:v>-128.69737609312767</c:v>
                </c:pt>
                <c:pt idx="539">
                  <c:v>-128.88239740055491</c:v>
                </c:pt>
                <c:pt idx="540">
                  <c:v>-129.06681896344213</c:v>
                </c:pt>
                <c:pt idx="541">
                  <c:v>-129.25064311315612</c:v>
                </c:pt>
                <c:pt idx="542">
                  <c:v>-129.43387217049738</c:v>
                </c:pt>
                <c:pt idx="543">
                  <c:v>-129.61650844575485</c:v>
                </c:pt>
                <c:pt idx="544">
                  <c:v>-129.7985542387604</c:v>
                </c:pt>
                <c:pt idx="545">
                  <c:v>-129.98001183894269</c:v>
                </c:pt>
                <c:pt idx="546">
                  <c:v>-130.16088352538111</c:v>
                </c:pt>
                <c:pt idx="547">
                  <c:v>-130.341171566859</c:v>
                </c:pt>
                <c:pt idx="548">
                  <c:v>-130.520878221917</c:v>
                </c:pt>
                <c:pt idx="549">
                  <c:v>-130.70000573890579</c:v>
                </c:pt>
                <c:pt idx="550">
                  <c:v>-130.87855635603842</c:v>
                </c:pt>
                <c:pt idx="551">
                  <c:v>-131.05653230144273</c:v>
                </c:pt>
                <c:pt idx="552">
                  <c:v>-131.23393579321325</c:v>
                </c:pt>
                <c:pt idx="553">
                  <c:v>-131.41076903946271</c:v>
                </c:pt>
                <c:pt idx="554">
                  <c:v>-131.58703423837329</c:v>
                </c:pt>
                <c:pt idx="555">
                  <c:v>-131.76273357824778</c:v>
                </c:pt>
                <c:pt idx="556">
                  <c:v>-131.93786923756016</c:v>
                </c:pt>
                <c:pt idx="557">
                  <c:v>-132.11244338500623</c:v>
                </c:pt>
                <c:pt idx="558">
                  <c:v>-132.28645817955339</c:v>
                </c:pt>
                <c:pt idx="559">
                  <c:v>-132.4599157704908</c:v>
                </c:pt>
                <c:pt idx="560">
                  <c:v>-132.63281829747879</c:v>
                </c:pt>
                <c:pt idx="561">
                  <c:v>-132.80516789059817</c:v>
                </c:pt>
                <c:pt idx="562">
                  <c:v>-132.97696667039909</c:v>
                </c:pt>
                <c:pt idx="563">
                  <c:v>-133.14821674795007</c:v>
                </c:pt>
                <c:pt idx="564">
                  <c:v>-133.31892022488586</c:v>
                </c:pt>
                <c:pt idx="565">
                  <c:v>-133.48907919345629</c:v>
                </c:pt>
                <c:pt idx="566">
                  <c:v>-133.65869573657358</c:v>
                </c:pt>
                <c:pt idx="567">
                  <c:v>-133.82777192786014</c:v>
                </c:pt>
                <c:pt idx="568">
                  <c:v>-133.99630983169584</c:v>
                </c:pt>
                <c:pt idx="569">
                  <c:v>-134.16431150326525</c:v>
                </c:pt>
                <c:pt idx="570">
                  <c:v>-134.33177898860416</c:v>
                </c:pt>
                <c:pt idx="571">
                  <c:v>-134.49871432464622</c:v>
                </c:pt>
                <c:pt idx="572">
                  <c:v>-134.66511953926914</c:v>
                </c:pt>
                <c:pt idx="573">
                  <c:v>-134.8309966513408</c:v>
                </c:pt>
                <c:pt idx="574">
                  <c:v>-134.99634767076486</c:v>
                </c:pt>
                <c:pt idx="575">
                  <c:v>-135.1611745985262</c:v>
                </c:pt>
                <c:pt idx="576">
                  <c:v>-135.32547942673608</c:v>
                </c:pt>
                <c:pt idx="577">
                  <c:v>-135.4892641386773</c:v>
                </c:pt>
                <c:pt idx="578">
                  <c:v>-135.65253070884876</c:v>
                </c:pt>
                <c:pt idx="579">
                  <c:v>-135.8152811030098</c:v>
                </c:pt>
                <c:pt idx="580">
                  <c:v>-135.97751727822441</c:v>
                </c:pt>
                <c:pt idx="581">
                  <c:v>-136.13924118290538</c:v>
                </c:pt>
                <c:pt idx="582">
                  <c:v>-136.30045475685773</c:v>
                </c:pt>
                <c:pt idx="583">
                  <c:v>-136.46115993132224</c:v>
                </c:pt>
                <c:pt idx="584">
                  <c:v>-136.62135862901852</c:v>
                </c:pt>
                <c:pt idx="585">
                  <c:v>-136.78105276418819</c:v>
                </c:pt>
                <c:pt idx="586">
                  <c:v>-136.94024424263748</c:v>
                </c:pt>
                <c:pt idx="587">
                  <c:v>-137.09893496177946</c:v>
                </c:pt>
                <c:pt idx="588">
                  <c:v>-137.25712681067651</c:v>
                </c:pt>
                <c:pt idx="589">
                  <c:v>-137.41482167008229</c:v>
                </c:pt>
                <c:pt idx="590">
                  <c:v>-137.57202141248348</c:v>
                </c:pt>
                <c:pt idx="591">
                  <c:v>-137.728727902141</c:v>
                </c:pt>
                <c:pt idx="592">
                  <c:v>-137.88494299513167</c:v>
                </c:pt>
                <c:pt idx="593">
                  <c:v>-138.04066853938903</c:v>
                </c:pt>
                <c:pt idx="594">
                  <c:v>-138.19590637474423</c:v>
                </c:pt>
                <c:pt idx="595">
                  <c:v>-138.3506583329665</c:v>
                </c:pt>
                <c:pt idx="596">
                  <c:v>-138.5049262378036</c:v>
                </c:pt>
                <c:pt idx="597">
                  <c:v>-138.6587119050219</c:v>
                </c:pt>
                <c:pt idx="598">
                  <c:v>-138.81201714244639</c:v>
                </c:pt>
                <c:pt idx="599">
                  <c:v>-138.96484375000003</c:v>
                </c:pt>
                <c:pt idx="600">
                  <c:v>-139.11719351974347</c:v>
                </c:pt>
                <c:pt idx="601">
                  <c:v>-139.26906823591438</c:v>
                </c:pt>
                <c:pt idx="602">
                  <c:v>-139.42046967496611</c:v>
                </c:pt>
                <c:pt idx="603">
                  <c:v>-139.57139960560676</c:v>
                </c:pt>
                <c:pt idx="604">
                  <c:v>-139.72185978883752</c:v>
                </c:pt>
                <c:pt idx="605">
                  <c:v>-139.87185197799127</c:v>
                </c:pt>
                <c:pt idx="606">
                  <c:v>-140.02137791877061</c:v>
                </c:pt>
                <c:pt idx="607">
                  <c:v>-140.17043934928572</c:v>
                </c:pt>
                <c:pt idx="608">
                  <c:v>-140.31903800009206</c:v>
                </c:pt>
                <c:pt idx="609">
                  <c:v>-140.46717559422808</c:v>
                </c:pt>
                <c:pt idx="610">
                  <c:v>-140.61485384725239</c:v>
                </c:pt>
                <c:pt idx="611">
                  <c:v>-140.76207446728074</c:v>
                </c:pt>
                <c:pt idx="612">
                  <c:v>-140.90883915502292</c:v>
                </c:pt>
                <c:pt idx="613">
                  <c:v>-141.0551496038197</c:v>
                </c:pt>
                <c:pt idx="614">
                  <c:v>-141.20100749967912</c:v>
                </c:pt>
                <c:pt idx="615">
                  <c:v>-141.34641452131251</c:v>
                </c:pt>
                <c:pt idx="616">
                  <c:v>-141.49137234017093</c:v>
                </c:pt>
                <c:pt idx="617">
                  <c:v>-141.63588262048097</c:v>
                </c:pt>
                <c:pt idx="618">
                  <c:v>-141.77994701928029</c:v>
                </c:pt>
                <c:pt idx="619">
                  <c:v>-141.92356718645308</c:v>
                </c:pt>
                <c:pt idx="620">
                  <c:v>-142.06674476476542</c:v>
                </c:pt>
                <c:pt idx="621">
                  <c:v>-142.2094813899003</c:v>
                </c:pt>
                <c:pt idx="622">
                  <c:v>-142.35177869049267</c:v>
                </c:pt>
                <c:pt idx="623">
                  <c:v>-142.49363828816382</c:v>
                </c:pt>
                <c:pt idx="624">
                  <c:v>-142.63506179755609</c:v>
                </c:pt>
                <c:pt idx="625">
                  <c:v>-142.77605082636717</c:v>
                </c:pt>
                <c:pt idx="626">
                  <c:v>-142.91660697538418</c:v>
                </c:pt>
                <c:pt idx="627">
                  <c:v>-143.05673183851746</c:v>
                </c:pt>
                <c:pt idx="628">
                  <c:v>-143.19642700283458</c:v>
                </c:pt>
                <c:pt idx="629">
                  <c:v>-143.33569404859369</c:v>
                </c:pt>
                <c:pt idx="630">
                  <c:v>-143.47453454927702</c:v>
                </c:pt>
                <c:pt idx="631">
                  <c:v>-143.61295007162391</c:v>
                </c:pt>
                <c:pt idx="632">
                  <c:v>-143.75094217566391</c:v>
                </c:pt>
                <c:pt idx="633">
                  <c:v>-143.88851241474964</c:v>
                </c:pt>
                <c:pt idx="634">
                  <c:v>-144.0256623355894</c:v>
                </c:pt>
                <c:pt idx="635">
                  <c:v>-144.16239347827954</c:v>
                </c:pt>
                <c:pt idx="636">
                  <c:v>-144.29870737633684</c:v>
                </c:pt>
                <c:pt idx="637">
                  <c:v>-144.43460555673062</c:v>
                </c:pt>
                <c:pt idx="638">
                  <c:v>-144.57008953991459</c:v>
                </c:pt>
                <c:pt idx="639">
                  <c:v>-144.70516083985873</c:v>
                </c:pt>
                <c:pt idx="640">
                  <c:v>-144.83982096408067</c:v>
                </c:pt>
                <c:pt idx="641">
                  <c:v>-144.97407141367734</c:v>
                </c:pt>
                <c:pt idx="642">
                  <c:v>-145.10791368335606</c:v>
                </c:pt>
                <c:pt idx="643">
                  <c:v>-145.24134926146561</c:v>
                </c:pt>
                <c:pt idx="644">
                  <c:v>-145.37437963002708</c:v>
                </c:pt>
                <c:pt idx="645">
                  <c:v>-145.50700626476481</c:v>
                </c:pt>
                <c:pt idx="646">
                  <c:v>-145.6392306351367</c:v>
                </c:pt>
                <c:pt idx="647">
                  <c:v>-145.7710542043647</c:v>
                </c:pt>
                <c:pt idx="648">
                  <c:v>-145.90247842946505</c:v>
                </c:pt>
                <c:pt idx="649">
                  <c:v>-146.03350476127835</c:v>
                </c:pt>
                <c:pt idx="650">
                  <c:v>-146.16413464449946</c:v>
                </c:pt>
                <c:pt idx="651">
                  <c:v>-146.29436951770711</c:v>
                </c:pt>
                <c:pt idx="652">
                  <c:v>-146.42421081339364</c:v>
                </c:pt>
                <c:pt idx="653">
                  <c:v>-146.55365995799434</c:v>
                </c:pt>
                <c:pt idx="654">
                  <c:v>-146.68271837191674</c:v>
                </c:pt>
                <c:pt idx="655">
                  <c:v>-146.81138746956958</c:v>
                </c:pt>
                <c:pt idx="656">
                  <c:v>-146.93966865939191</c:v>
                </c:pt>
                <c:pt idx="657">
                  <c:v>-147.06756334388177</c:v>
                </c:pt>
                <c:pt idx="658">
                  <c:v>-147.19507291962486</c:v>
                </c:pt>
                <c:pt idx="659">
                  <c:v>-147.32219877732297</c:v>
                </c:pt>
                <c:pt idx="660">
                  <c:v>-147.44894230182223</c:v>
                </c:pt>
                <c:pt idx="661">
                  <c:v>-147.57530487214149</c:v>
                </c:pt>
                <c:pt idx="662">
                  <c:v>-147.70128786150008</c:v>
                </c:pt>
                <c:pt idx="663">
                  <c:v>-147.82689263734585</c:v>
                </c:pt>
                <c:pt idx="664">
                  <c:v>-147.95212056138269</c:v>
                </c:pt>
                <c:pt idx="665">
                  <c:v>-148.07697298959832</c:v>
                </c:pt>
                <c:pt idx="666">
                  <c:v>-148.20145127229148</c:v>
                </c:pt>
                <c:pt idx="667">
                  <c:v>-148.32555675409941</c:v>
                </c:pt>
                <c:pt idx="668">
                  <c:v>-148.44929077402458</c:v>
                </c:pt>
                <c:pt idx="669">
                  <c:v>-148.57265466546221</c:v>
                </c:pt>
                <c:pt idx="670">
                  <c:v>-148.69564975622666</c:v>
                </c:pt>
                <c:pt idx="671">
                  <c:v>-148.81827736857821</c:v>
                </c:pt>
                <c:pt idx="672">
                  <c:v>-148.94053881924972</c:v>
                </c:pt>
                <c:pt idx="673">
                  <c:v>-149.06243541947285</c:v>
                </c:pt>
                <c:pt idx="674">
                  <c:v>-149.18396847500443</c:v>
                </c:pt>
                <c:pt idx="675">
                  <c:v>-149.30513928615258</c:v>
                </c:pt>
                <c:pt idx="676">
                  <c:v>-149.42594914780253</c:v>
                </c:pt>
                <c:pt idx="677">
                  <c:v>-149.54639934944262</c:v>
                </c:pt>
                <c:pt idx="678">
                  <c:v>-149.66649117518995</c:v>
                </c:pt>
                <c:pt idx="679">
                  <c:v>-149.78622590381582</c:v>
                </c:pt>
                <c:pt idx="680">
                  <c:v>-149.90560480877127</c:v>
                </c:pt>
                <c:pt idx="681">
                  <c:v>-150.02462915821238</c:v>
                </c:pt>
                <c:pt idx="682">
                  <c:v>-150.14330021502536</c:v>
                </c:pt>
                <c:pt idx="683">
                  <c:v>-150.26161923685152</c:v>
                </c:pt>
                <c:pt idx="684">
                  <c:v>-150.37958747611216</c:v>
                </c:pt>
                <c:pt idx="685">
                  <c:v>-150.49720618003346</c:v>
                </c:pt>
                <c:pt idx="686">
                  <c:v>-150.61447659067096</c:v>
                </c:pt>
                <c:pt idx="687">
                  <c:v>-150.731399944934</c:v>
                </c:pt>
                <c:pt idx="688">
                  <c:v>-150.84797747461025</c:v>
                </c:pt>
                <c:pt idx="689">
                  <c:v>-150.96421040638972</c:v>
                </c:pt>
                <c:pt idx="690">
                  <c:v>-151.08009996188906</c:v>
                </c:pt>
                <c:pt idx="691">
                  <c:v>-151.19564735767545</c:v>
                </c:pt>
                <c:pt idx="692">
                  <c:v>-151.31085380529026</c:v>
                </c:pt>
                <c:pt idx="693">
                  <c:v>-151.42572051127308</c:v>
                </c:pt>
                <c:pt idx="694">
                  <c:v>-151.54024867718505</c:v>
                </c:pt>
                <c:pt idx="695">
                  <c:v>-151.65443949963253</c:v>
                </c:pt>
                <c:pt idx="696">
                  <c:v>-151.76829417029023</c:v>
                </c:pt>
                <c:pt idx="697">
                  <c:v>-151.88181387592454</c:v>
                </c:pt>
                <c:pt idx="698">
                  <c:v>-151.99499979841667</c:v>
                </c:pt>
                <c:pt idx="699">
                  <c:v>-152.10785311478548</c:v>
                </c:pt>
                <c:pt idx="700">
                  <c:v>-152.22037499721048</c:v>
                </c:pt>
                <c:pt idx="701">
                  <c:v>-152.33256661305435</c:v>
                </c:pt>
                <c:pt idx="702">
                  <c:v>-152.4444291248858</c:v>
                </c:pt>
                <c:pt idx="703">
                  <c:v>-152.5559636905019</c:v>
                </c:pt>
                <c:pt idx="704">
                  <c:v>-152.66717146295048</c:v>
                </c:pt>
                <c:pt idx="705">
                  <c:v>-152.7780535905523</c:v>
                </c:pt>
                <c:pt idx="706">
                  <c:v>-152.88861121692344</c:v>
                </c:pt>
                <c:pt idx="707">
                  <c:v>-152.99884548099698</c:v>
                </c:pt>
                <c:pt idx="708">
                  <c:v>-153.10875751704518</c:v>
                </c:pt>
                <c:pt idx="709">
                  <c:v>-153.21834845470104</c:v>
                </c:pt>
                <c:pt idx="710">
                  <c:v>-153.32761941898025</c:v>
                </c:pt>
                <c:pt idx="711">
                  <c:v>-153.43657153030239</c:v>
                </c:pt>
                <c:pt idx="712">
                  <c:v>-153.54520590451278</c:v>
                </c:pt>
                <c:pt idx="713">
                  <c:v>-153.65352365290335</c:v>
                </c:pt>
                <c:pt idx="714">
                  <c:v>-153.76152588223431</c:v>
                </c:pt>
                <c:pt idx="715">
                  <c:v>-153.86921369475499</c:v>
                </c:pt>
                <c:pt idx="716">
                  <c:v>-153.97658818822495</c:v>
                </c:pt>
                <c:pt idx="717">
                  <c:v>-154.08365045593473</c:v>
                </c:pt>
                <c:pt idx="718">
                  <c:v>-154.19040158672678</c:v>
                </c:pt>
                <c:pt idx="719">
                  <c:v>-154.29684266501619</c:v>
                </c:pt>
                <c:pt idx="720">
                  <c:v>-154.40297477081094</c:v>
                </c:pt>
                <c:pt idx="721">
                  <c:v>-154.50879897973269</c:v>
                </c:pt>
                <c:pt idx="722">
                  <c:v>-154.61431636303698</c:v>
                </c:pt>
                <c:pt idx="723">
                  <c:v>-154.71952798763343</c:v>
                </c:pt>
                <c:pt idx="724">
                  <c:v>-154.82443491610604</c:v>
                </c:pt>
                <c:pt idx="725">
                  <c:v>-154.92903820673297</c:v>
                </c:pt>
                <c:pt idx="726">
                  <c:v>-155.03333891350675</c:v>
                </c:pt>
                <c:pt idx="727">
                  <c:v>-155.13733808615396</c:v>
                </c:pt>
                <c:pt idx="728">
                  <c:v>-155.24103677015489</c:v>
                </c:pt>
                <c:pt idx="729">
                  <c:v>-155.34443600676323</c:v>
                </c:pt>
                <c:pt idx="730">
                  <c:v>-155.44753683302565</c:v>
                </c:pt>
                <c:pt idx="731">
                  <c:v>-155.55034028180114</c:v>
                </c:pt>
                <c:pt idx="732">
                  <c:v>-155.6528473817803</c:v>
                </c:pt>
                <c:pt idx="733">
                  <c:v>-155.7550591575046</c:v>
                </c:pt>
                <c:pt idx="734">
                  <c:v>-155.85697662938554</c:v>
                </c:pt>
                <c:pt idx="735">
                  <c:v>-155.95860081372356</c:v>
                </c:pt>
                <c:pt idx="736">
                  <c:v>-156.05993272272701</c:v>
                </c:pt>
                <c:pt idx="737">
                  <c:v>-156.16097336453095</c:v>
                </c:pt>
                <c:pt idx="738">
                  <c:v>-156.26172374321598</c:v>
                </c:pt>
                <c:pt idx="739">
                  <c:v>-156.36218485882671</c:v>
                </c:pt>
                <c:pt idx="740">
                  <c:v>-156.46235770739034</c:v>
                </c:pt>
                <c:pt idx="741">
                  <c:v>-156.56224328093512</c:v>
                </c:pt>
                <c:pt idx="742">
                  <c:v>-156.66184256750876</c:v>
                </c:pt>
                <c:pt idx="743">
                  <c:v>-156.76115655119651</c:v>
                </c:pt>
                <c:pt idx="744">
                  <c:v>-156.86018621213938</c:v>
                </c:pt>
                <c:pt idx="745">
                  <c:v>-156.95893252655225</c:v>
                </c:pt>
                <c:pt idx="746">
                  <c:v>-157.05739646674181</c:v>
                </c:pt>
                <c:pt idx="747">
                  <c:v>-157.15557900112441</c:v>
                </c:pt>
                <c:pt idx="748">
                  <c:v>-157.2534810942438</c:v>
                </c:pt>
                <c:pt idx="749">
                  <c:v>-157.35110370678885</c:v>
                </c:pt>
                <c:pt idx="750">
                  <c:v>-157.4484477956112</c:v>
                </c:pt>
                <c:pt idx="751">
                  <c:v>-157.54551431374279</c:v>
                </c:pt>
                <c:pt idx="752">
                  <c:v>-157.64230421041307</c:v>
                </c:pt>
                <c:pt idx="753">
                  <c:v>-157.73881843106656</c:v>
                </c:pt>
                <c:pt idx="754">
                  <c:v>-157.83505791738</c:v>
                </c:pt>
                <c:pt idx="755">
                  <c:v>-157.93102360727949</c:v>
                </c:pt>
                <c:pt idx="756">
                  <c:v>-158.02671643495754</c:v>
                </c:pt>
                <c:pt idx="757">
                  <c:v>-158.12213733089004</c:v>
                </c:pt>
                <c:pt idx="758">
                  <c:v>-158.21728722185324</c:v>
                </c:pt>
                <c:pt idx="759">
                  <c:v>-158.31216703094051</c:v>
                </c:pt>
                <c:pt idx="760">
                  <c:v>-158.40677767757899</c:v>
                </c:pt>
                <c:pt idx="761">
                  <c:v>-158.50112007754618</c:v>
                </c:pt>
                <c:pt idx="762">
                  <c:v>-158.59519514298677</c:v>
                </c:pt>
                <c:pt idx="763">
                  <c:v>-158.68900378242876</c:v>
                </c:pt>
                <c:pt idx="764">
                  <c:v>-158.78254690080004</c:v>
                </c:pt>
                <c:pt idx="765">
                  <c:v>-158.87582539944458</c:v>
                </c:pt>
                <c:pt idx="766">
                  <c:v>-158.96884017613877</c:v>
                </c:pt>
                <c:pt idx="767">
                  <c:v>-159.06159212510744</c:v>
                </c:pt>
                <c:pt idx="768">
                  <c:v>-159.15408213703986</c:v>
                </c:pt>
                <c:pt idx="769">
                  <c:v>-159.2463110991059</c:v>
                </c:pt>
                <c:pt idx="770">
                  <c:v>-159.33827989497172</c:v>
                </c:pt>
                <c:pt idx="771">
                  <c:v>-159.42998940481576</c:v>
                </c:pt>
                <c:pt idx="772">
                  <c:v>-159.5214405053442</c:v>
                </c:pt>
                <c:pt idx="773">
                  <c:v>-159.61263406980686</c:v>
                </c:pt>
                <c:pt idx="774">
                  <c:v>-159.70357096801268</c:v>
                </c:pt>
                <c:pt idx="775">
                  <c:v>-159.79425206634519</c:v>
                </c:pt>
                <c:pt idx="776">
                  <c:v>-159.8846782277779</c:v>
                </c:pt>
                <c:pt idx="777">
                  <c:v>-159.97485031188955</c:v>
                </c:pt>
                <c:pt idx="778">
                  <c:v>-160.06476917487964</c:v>
                </c:pt>
                <c:pt idx="779">
                  <c:v>-160.15443566958345</c:v>
                </c:pt>
                <c:pt idx="780">
                  <c:v>-160.24385064548687</c:v>
                </c:pt>
                <c:pt idx="781">
                  <c:v>-160.33301494874195</c:v>
                </c:pt>
                <c:pt idx="782">
                  <c:v>-160.42192942218136</c:v>
                </c:pt>
                <c:pt idx="783">
                  <c:v>-160.51059490533365</c:v>
                </c:pt>
                <c:pt idx="784">
                  <c:v>-160.59901223443774</c:v>
                </c:pt>
                <c:pt idx="785">
                  <c:v>-160.68718224245777</c:v>
                </c:pt>
                <c:pt idx="786">
                  <c:v>-160.77510575909784</c:v>
                </c:pt>
                <c:pt idx="787">
                  <c:v>-160.86278361081645</c:v>
                </c:pt>
                <c:pt idx="788">
                  <c:v>-160.95021662084099</c:v>
                </c:pt>
                <c:pt idx="789">
                  <c:v>-161.03740560918231</c:v>
                </c:pt>
                <c:pt idx="790">
                  <c:v>-161.12435139264889</c:v>
                </c:pt>
                <c:pt idx="791">
                  <c:v>-161.21105478486137</c:v>
                </c:pt>
                <c:pt idx="792">
                  <c:v>-161.29751659626646</c:v>
                </c:pt>
                <c:pt idx="793">
                  <c:v>-161.38373763415129</c:v>
                </c:pt>
                <c:pt idx="794">
                  <c:v>-161.46971870265745</c:v>
                </c:pt>
                <c:pt idx="795">
                  <c:v>-161.55546060279494</c:v>
                </c:pt>
                <c:pt idx="796">
                  <c:v>-161.64096413245616</c:v>
                </c:pt>
                <c:pt idx="797">
                  <c:v>-161.72623008642967</c:v>
                </c:pt>
                <c:pt idx="798">
                  <c:v>-161.81125925641413</c:v>
                </c:pt>
                <c:pt idx="799">
                  <c:v>-161.89605243103188</c:v>
                </c:pt>
                <c:pt idx="800">
                  <c:v>-161.9806103958426</c:v>
                </c:pt>
                <c:pt idx="801">
                  <c:v>-162.06493393335708</c:v>
                </c:pt>
                <c:pt idx="802">
                  <c:v>-162.14902382305053</c:v>
                </c:pt>
                <c:pt idx="803">
                  <c:v>-162.23288084137607</c:v>
                </c:pt>
                <c:pt idx="804">
                  <c:v>-162.31650576177822</c:v>
                </c:pt>
                <c:pt idx="805">
                  <c:v>-162.39989935470606</c:v>
                </c:pt>
                <c:pt idx="806">
                  <c:v>-162.48306238762666</c:v>
                </c:pt>
                <c:pt idx="807">
                  <c:v>-162.56599562503806</c:v>
                </c:pt>
                <c:pt idx="808">
                  <c:v>-162.64869982848259</c:v>
                </c:pt>
                <c:pt idx="809">
                  <c:v>-162.73117575655976</c:v>
                </c:pt>
                <c:pt idx="810">
                  <c:v>-162.81342416493939</c:v>
                </c:pt>
                <c:pt idx="811">
                  <c:v>-162.8954458063744</c:v>
                </c:pt>
                <c:pt idx="812">
                  <c:v>-162.97724143071372</c:v>
                </c:pt>
                <c:pt idx="813">
                  <c:v>-163.05881178491518</c:v>
                </c:pt>
                <c:pt idx="814">
                  <c:v>-163.14015761305811</c:v>
                </c:pt>
                <c:pt idx="815">
                  <c:v>-163.22127965635602</c:v>
                </c:pt>
                <c:pt idx="816">
                  <c:v>-163.30217865316934</c:v>
                </c:pt>
                <c:pt idx="817">
                  <c:v>-163.38285533901782</c:v>
                </c:pt>
                <c:pt idx="818">
                  <c:v>-163.46331044659306</c:v>
                </c:pt>
                <c:pt idx="819">
                  <c:v>-163.54354470577096</c:v>
                </c:pt>
                <c:pt idx="820">
                  <c:v>-163.62355884362404</c:v>
                </c:pt>
                <c:pt idx="821">
                  <c:v>-163.70335358443378</c:v>
                </c:pt>
                <c:pt idx="822">
                  <c:v>-163.78292964970279</c:v>
                </c:pt>
                <c:pt idx="823">
                  <c:v>-163.8622877581671</c:v>
                </c:pt>
                <c:pt idx="824">
                  <c:v>-163.94142862580819</c:v>
                </c:pt>
                <c:pt idx="825">
                  <c:v>-164.02035296586502</c:v>
                </c:pt>
                <c:pt idx="826">
                  <c:v>-164.09906148884608</c:v>
                </c:pt>
                <c:pt idx="827">
                  <c:v>-164.17755490254135</c:v>
                </c:pt>
                <c:pt idx="828">
                  <c:v>-164.25583391203423</c:v>
                </c:pt>
                <c:pt idx="829">
                  <c:v>-164.3338992197132</c:v>
                </c:pt>
                <c:pt idx="830">
                  <c:v>-164.41175152528365</c:v>
                </c:pt>
                <c:pt idx="831">
                  <c:v>-164.48939152577969</c:v>
                </c:pt>
                <c:pt idx="832">
                  <c:v>-164.56681991557571</c:v>
                </c:pt>
                <c:pt idx="833">
                  <c:v>-164.64403738639797</c:v>
                </c:pt>
                <c:pt idx="834">
                  <c:v>-164.72104462733608</c:v>
                </c:pt>
                <c:pt idx="835">
                  <c:v>-164.79784232485466</c:v>
                </c:pt>
                <c:pt idx="836">
                  <c:v>-164.8744311628046</c:v>
                </c:pt>
                <c:pt idx="837">
                  <c:v>-164.95081182243447</c:v>
                </c:pt>
                <c:pt idx="838">
                  <c:v>-165.02698498240187</c:v>
                </c:pt>
                <c:pt idx="839">
                  <c:v>-165.10295131878459</c:v>
                </c:pt>
                <c:pt idx="840">
                  <c:v>-165.17871150509197</c:v>
                </c:pt>
                <c:pt idx="841">
                  <c:v>-165.25426621227587</c:v>
                </c:pt>
                <c:pt idx="842">
                  <c:v>-165.32961610874187</c:v>
                </c:pt>
                <c:pt idx="843">
                  <c:v>-165.40476186036031</c:v>
                </c:pt>
                <c:pt idx="844">
                  <c:v>-165.47970413047727</c:v>
                </c:pt>
                <c:pt idx="845">
                  <c:v>-165.55444357992536</c:v>
                </c:pt>
                <c:pt idx="846">
                  <c:v>-165.62898086703478</c:v>
                </c:pt>
                <c:pt idx="847">
                  <c:v>-165.70331664764413</c:v>
                </c:pt>
                <c:pt idx="848">
                  <c:v>-165.77745157511112</c:v>
                </c:pt>
                <c:pt idx="849">
                  <c:v>-165.85138630032318</c:v>
                </c:pt>
                <c:pt idx="850">
                  <c:v>-165.92512147170839</c:v>
                </c:pt>
                <c:pt idx="851">
                  <c:v>-165.9986577352459</c:v>
                </c:pt>
                <c:pt idx="852">
                  <c:v>-166.07199573447653</c:v>
                </c:pt>
                <c:pt idx="853">
                  <c:v>-166.14513611051331</c:v>
                </c:pt>
                <c:pt idx="854">
                  <c:v>-166.21807950205192</c:v>
                </c:pt>
                <c:pt idx="855">
                  <c:v>-166.29082654538118</c:v>
                </c:pt>
                <c:pt idx="856">
                  <c:v>-166.36337787439328</c:v>
                </c:pt>
                <c:pt idx="857">
                  <c:v>-166.43573412059411</c:v>
                </c:pt>
                <c:pt idx="858">
                  <c:v>-166.50789591311366</c:v>
                </c:pt>
                <c:pt idx="859">
                  <c:v>-166.57986387871614</c:v>
                </c:pt>
                <c:pt idx="860">
                  <c:v>-166.65163864181002</c:v>
                </c:pt>
                <c:pt idx="861">
                  <c:v>-166.72322082445839</c:v>
                </c:pt>
                <c:pt idx="862">
                  <c:v>-166.79461104638881</c:v>
                </c:pt>
                <c:pt idx="863">
                  <c:v>-166.86580992500342</c:v>
                </c:pt>
                <c:pt idx="864">
                  <c:v>-166.936818075389</c:v>
                </c:pt>
                <c:pt idx="865">
                  <c:v>-167.00763611032662</c:v>
                </c:pt>
                <c:pt idx="866">
                  <c:v>-167.07826464030177</c:v>
                </c:pt>
                <c:pt idx="867">
                  <c:v>-167.14870427351408</c:v>
                </c:pt>
                <c:pt idx="868">
                  <c:v>-167.21895561588715</c:v>
                </c:pt>
                <c:pt idx="869">
                  <c:v>-167.28901927107813</c:v>
                </c:pt>
                <c:pt idx="870">
                  <c:v>-167.35889584048761</c:v>
                </c:pt>
                <c:pt idx="871">
                  <c:v>-167.42858592326908</c:v>
                </c:pt>
                <c:pt idx="872">
                  <c:v>-167.49809011633869</c:v>
                </c:pt>
                <c:pt idx="873">
                  <c:v>-167.56740901438457</c:v>
                </c:pt>
                <c:pt idx="874">
                  <c:v>-167.63654320987655</c:v>
                </c:pt>
                <c:pt idx="875">
                  <c:v>-167.70549329307548</c:v>
                </c:pt>
                <c:pt idx="876">
                  <c:v>-167.77425985204275</c:v>
                </c:pt>
                <c:pt idx="877">
                  <c:v>-167.84284347264946</c:v>
                </c:pt>
                <c:pt idx="878">
                  <c:v>-167.91124473858591</c:v>
                </c:pt>
                <c:pt idx="879">
                  <c:v>-167.97946423137086</c:v>
                </c:pt>
                <c:pt idx="880">
                  <c:v>-168.04750253036067</c:v>
                </c:pt>
                <c:pt idx="881">
                  <c:v>-168.11536021275856</c:v>
                </c:pt>
                <c:pt idx="882">
                  <c:v>-168.18303785362366</c:v>
                </c:pt>
                <c:pt idx="883">
                  <c:v>-168.25053602588022</c:v>
                </c:pt>
                <c:pt idx="884">
                  <c:v>-168.31785530032667</c:v>
                </c:pt>
                <c:pt idx="885">
                  <c:v>-168.38499624564449</c:v>
                </c:pt>
                <c:pt idx="886">
                  <c:v>-168.45195942840721</c:v>
                </c:pt>
                <c:pt idx="887">
                  <c:v>-168.51874541308953</c:v>
                </c:pt>
                <c:pt idx="888">
                  <c:v>-168.58535476207595</c:v>
                </c:pt>
                <c:pt idx="889">
                  <c:v>-168.6517880356698</c:v>
                </c:pt>
                <c:pt idx="890">
                  <c:v>-168.71804579210183</c:v>
                </c:pt>
                <c:pt idx="891">
                  <c:v>-168.78412858753921</c:v>
                </c:pt>
                <c:pt idx="892">
                  <c:v>-168.85003697609412</c:v>
                </c:pt>
                <c:pt idx="893">
                  <c:v>-168.91577150983233</c:v>
                </c:pt>
                <c:pt idx="894">
                  <c:v>-168.98133273878199</c:v>
                </c:pt>
                <c:pt idx="895">
                  <c:v>-169.04672121094222</c:v>
                </c:pt>
                <c:pt idx="896">
                  <c:v>-169.11193747229152</c:v>
                </c:pt>
                <c:pt idx="897">
                  <c:v>-169.17698206679634</c:v>
                </c:pt>
                <c:pt idx="898">
                  <c:v>-169.24185553641971</c:v>
                </c:pt>
                <c:pt idx="899">
                  <c:v>-169.30655842112935</c:v>
                </c:pt>
                <c:pt idx="900">
                  <c:v>-169.3710912589064</c:v>
                </c:pt>
                <c:pt idx="901">
                  <c:v>-169.43545458575355</c:v>
                </c:pt>
                <c:pt idx="902">
                  <c:v>-169.49964893570331</c:v>
                </c:pt>
                <c:pt idx="903">
                  <c:v>-169.56367484082654</c:v>
                </c:pt>
                <c:pt idx="904">
                  <c:v>-169.62753283124047</c:v>
                </c:pt>
                <c:pt idx="905">
                  <c:v>-169.69122343511691</c:v>
                </c:pt>
                <c:pt idx="906">
                  <c:v>-169.75474717869042</c:v>
                </c:pt>
                <c:pt idx="907">
                  <c:v>-169.81810458626654</c:v>
                </c:pt>
                <c:pt idx="908">
                  <c:v>-169.88129618022975</c:v>
                </c:pt>
                <c:pt idx="909">
                  <c:v>-169.94432248105147</c:v>
                </c:pt>
                <c:pt idx="910">
                  <c:v>-170.00718400729818</c:v>
                </c:pt>
                <c:pt idx="911">
                  <c:v>-170.06988127563929</c:v>
                </c:pt>
                <c:pt idx="912">
                  <c:v>-170.1324148008552</c:v>
                </c:pt>
                <c:pt idx="913">
                  <c:v>-170.19478509584502</c:v>
                </c:pt>
                <c:pt idx="914">
                  <c:v>-170.25699267163452</c:v>
                </c:pt>
                <c:pt idx="915">
                  <c:v>-170.31903803738388</c:v>
                </c:pt>
                <c:pt idx="916">
                  <c:v>-170.38092170039565</c:v>
                </c:pt>
                <c:pt idx="917">
                  <c:v>-170.44264416612222</c:v>
                </c:pt>
                <c:pt idx="918">
                  <c:v>-170.5042059381737</c:v>
                </c:pt>
                <c:pt idx="919">
                  <c:v>-170.56560751832561</c:v>
                </c:pt>
                <c:pt idx="920">
                  <c:v>-170.62684940652645</c:v>
                </c:pt>
                <c:pt idx="921">
                  <c:v>-170.68793210090521</c:v>
                </c:pt>
                <c:pt idx="922">
                  <c:v>-170.74885609777914</c:v>
                </c:pt>
                <c:pt idx="923">
                  <c:v>-170.80962189166115</c:v>
                </c:pt>
                <c:pt idx="924">
                  <c:v>-170.87022997526731</c:v>
                </c:pt>
                <c:pt idx="925">
                  <c:v>-170.93068083952426</c:v>
                </c:pt>
                <c:pt idx="926">
                  <c:v>-170.99097497357684</c:v>
                </c:pt>
                <c:pt idx="927">
                  <c:v>-171.05111286479513</c:v>
                </c:pt>
                <c:pt idx="928">
                  <c:v>-171.11109499878225</c:v>
                </c:pt>
                <c:pt idx="929">
                  <c:v>-171.1709218593812</c:v>
                </c:pt>
                <c:pt idx="930">
                  <c:v>-171.23059392868248</c:v>
                </c:pt>
                <c:pt idx="931">
                  <c:v>-171.2901116870313</c:v>
                </c:pt>
                <c:pt idx="932">
                  <c:v>-171.34947561303466</c:v>
                </c:pt>
                <c:pt idx="933">
                  <c:v>-171.40868618356862</c:v>
                </c:pt>
                <c:pt idx="934">
                  <c:v>-171.46774387378545</c:v>
                </c:pt>
                <c:pt idx="935">
                  <c:v>-171.52664915712074</c:v>
                </c:pt>
                <c:pt idx="936">
                  <c:v>-171.58540250530058</c:v>
                </c:pt>
                <c:pt idx="937">
                  <c:v>-171.64400438834832</c:v>
                </c:pt>
                <c:pt idx="938">
                  <c:v>-171.70245527459198</c:v>
                </c:pt>
                <c:pt idx="939">
                  <c:v>-171.76075563067093</c:v>
                </c:pt>
                <c:pt idx="940">
                  <c:v>-171.81890592154301</c:v>
                </c:pt>
                <c:pt idx="941">
                  <c:v>-171.87690661049137</c:v>
                </c:pt>
                <c:pt idx="942">
                  <c:v>-171.93475815913141</c:v>
                </c:pt>
                <c:pt idx="943">
                  <c:v>-171.99246102741756</c:v>
                </c:pt>
                <c:pt idx="944">
                  <c:v>-172.05001567365028</c:v>
                </c:pt>
                <c:pt idx="945">
                  <c:v>-172.10742255448264</c:v>
                </c:pt>
                <c:pt idx="946">
                  <c:v>-172.1646821249272</c:v>
                </c:pt>
                <c:pt idx="947">
                  <c:v>-172.22179483836271</c:v>
                </c:pt>
                <c:pt idx="948">
                  <c:v>-172.27876114654092</c:v>
                </c:pt>
                <c:pt idx="949">
                  <c:v>-172.33558149959302</c:v>
                </c:pt>
                <c:pt idx="950">
                  <c:v>-172.39225634603653</c:v>
                </c:pt>
                <c:pt idx="951">
                  <c:v>-172.44878613278166</c:v>
                </c:pt>
                <c:pt idx="952">
                  <c:v>-172.50517130513819</c:v>
                </c:pt>
                <c:pt idx="953">
                  <c:v>-172.56141230682172</c:v>
                </c:pt>
                <c:pt idx="954">
                  <c:v>-172.61750957996034</c:v>
                </c:pt>
                <c:pt idx="955">
                  <c:v>-172.67346356510114</c:v>
                </c:pt>
                <c:pt idx="956">
                  <c:v>-172.72927470121655</c:v>
                </c:pt>
                <c:pt idx="957">
                  <c:v>-172.78494342571096</c:v>
                </c:pt>
                <c:pt idx="958">
                  <c:v>-172.84047017442691</c:v>
                </c:pt>
                <c:pt idx="959">
                  <c:v>-172.8958553816515</c:v>
                </c:pt>
                <c:pt idx="960">
                  <c:v>-172.95109948012293</c:v>
                </c:pt>
                <c:pt idx="961">
                  <c:v>-173.00620290103654</c:v>
                </c:pt>
                <c:pt idx="962">
                  <c:v>-173.0611660740513</c:v>
                </c:pt>
                <c:pt idx="963">
                  <c:v>-173.11598942729589</c:v>
                </c:pt>
                <c:pt idx="964">
                  <c:v>-173.17067338737507</c:v>
                </c:pt>
                <c:pt idx="965">
                  <c:v>-173.22521837937583</c:v>
                </c:pt>
                <c:pt idx="966">
                  <c:v>-173.27962482687354</c:v>
                </c:pt>
                <c:pt idx="967">
                  <c:v>-173.33389315193804</c:v>
                </c:pt>
                <c:pt idx="968">
                  <c:v>-173.38802377513989</c:v>
                </c:pt>
                <c:pt idx="969">
                  <c:v>-173.44201711555633</c:v>
                </c:pt>
                <c:pt idx="970">
                  <c:v>-173.49587359077739</c:v>
                </c:pt>
                <c:pt idx="971">
                  <c:v>-173.54959361691192</c:v>
                </c:pt>
                <c:pt idx="972">
                  <c:v>-173.6031776085936</c:v>
                </c:pt>
                <c:pt idx="973">
                  <c:v>-173.65662597898682</c:v>
                </c:pt>
                <c:pt idx="974">
                  <c:v>-173.70993913979279</c:v>
                </c:pt>
                <c:pt idx="975">
                  <c:v>-173.76311750125535</c:v>
                </c:pt>
                <c:pt idx="976">
                  <c:v>-173.81616147216678</c:v>
                </c:pt>
                <c:pt idx="977">
                  <c:v>-173.86907145987396</c:v>
                </c:pt>
                <c:pt idx="978">
                  <c:v>-173.92184787028387</c:v>
                </c:pt>
                <c:pt idx="979">
                  <c:v>-173.9744911078696</c:v>
                </c:pt>
                <c:pt idx="980">
                  <c:v>-174.02700157567605</c:v>
                </c:pt>
                <c:pt idx="981">
                  <c:v>-174.07937967532584</c:v>
                </c:pt>
                <c:pt idx="982">
                  <c:v>-174.13162580702482</c:v>
                </c:pt>
                <c:pt idx="983">
                  <c:v>-174.18374036956794</c:v>
                </c:pt>
                <c:pt idx="984">
                  <c:v>-174.23572376034485</c:v>
                </c:pt>
                <c:pt idx="985">
                  <c:v>-174.28757637534565</c:v>
                </c:pt>
                <c:pt idx="986">
                  <c:v>-174.33929860916638</c:v>
                </c:pt>
                <c:pt idx="987">
                  <c:v>-174.39089085501479</c:v>
                </c:pt>
                <c:pt idx="988">
                  <c:v>-174.44235350471573</c:v>
                </c:pt>
                <c:pt idx="989">
                  <c:v>-174.49368694871694</c:v>
                </c:pt>
                <c:pt idx="990">
                  <c:v>-174.54489157609439</c:v>
                </c:pt>
                <c:pt idx="991">
                  <c:v>-174.59596777455775</c:v>
                </c:pt>
                <c:pt idx="992">
                  <c:v>-174.64691593045612</c:v>
                </c:pt>
                <c:pt idx="993">
                  <c:v>-174.69773642878326</c:v>
                </c:pt>
                <c:pt idx="994">
                  <c:v>-174.74842965318308</c:v>
                </c:pt>
                <c:pt idx="995">
                  <c:v>-174.79899598595506</c:v>
                </c:pt>
                <c:pt idx="996">
                  <c:v>-174.84943580805964</c:v>
                </c:pt>
                <c:pt idx="997">
                  <c:v>-174.8997494991236</c:v>
                </c:pt>
                <c:pt idx="998">
                  <c:v>-174.94993743744527</c:v>
                </c:pt>
                <c:pt idx="999">
                  <c:v>-175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5D-0F48-B746-D1E2882B0FA8}"/>
            </c:ext>
          </c:extLst>
        </c:ser>
        <c:ser>
          <c:idx val="6"/>
          <c:order val="5"/>
          <c:tx>
            <c:strRef>
              <c:f>NPVs!$H$18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NPVs!$B$19:$B$1018</c:f>
              <c:numCache>
                <c:formatCode>0.000%</c:formatCode>
                <c:ptCount val="1000"/>
                <c:pt idx="0" formatCode="0.00%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  <c:pt idx="999">
                  <c:v>1</c:v>
                </c:pt>
              </c:numCache>
            </c:numRef>
          </c:cat>
          <c:val>
            <c:numRef>
              <c:f>NPVs!$H$19:$H$1018</c:f>
              <c:numCache>
                <c:formatCode>General</c:formatCode>
                <c:ptCount val="1000"/>
                <c:pt idx="0">
                  <c:v>596.80798402795563</c:v>
                </c:pt>
                <c:pt idx="1">
                  <c:v>593.63187244657081</c:v>
                </c:pt>
                <c:pt idx="2">
                  <c:v>590.47157025716274</c:v>
                </c:pt>
                <c:pt idx="3">
                  <c:v>587.32698312239847</c:v>
                </c:pt>
                <c:pt idx="4">
                  <c:v>584.19801736104307</c:v>
                </c:pt>
                <c:pt idx="5">
                  <c:v>581.08457994274386</c:v>
                </c:pt>
                <c:pt idx="6">
                  <c:v>577.98657848287451</c:v>
                </c:pt>
                <c:pt idx="7">
                  <c:v>574.90392123741037</c:v>
                </c:pt>
                <c:pt idx="8">
                  <c:v>571.83651709786432</c:v>
                </c:pt>
                <c:pt idx="9">
                  <c:v>568.78427558625299</c:v>
                </c:pt>
                <c:pt idx="10">
                  <c:v>565.74710685012144</c:v>
                </c:pt>
                <c:pt idx="11">
                  <c:v>562.72492165760059</c:v>
                </c:pt>
                <c:pt idx="12">
                  <c:v>559.71763139251732</c:v>
                </c:pt>
                <c:pt idx="13">
                  <c:v>556.72514804954096</c:v>
                </c:pt>
                <c:pt idx="14">
                  <c:v>553.74738422937958</c:v>
                </c:pt>
                <c:pt idx="15">
                  <c:v>550.78425313400942</c:v>
                </c:pt>
                <c:pt idx="16">
                  <c:v>547.83566856195921</c:v>
                </c:pt>
                <c:pt idx="17">
                  <c:v>544.90154490362238</c:v>
                </c:pt>
                <c:pt idx="18">
                  <c:v>541.98179713662284</c:v>
                </c:pt>
                <c:pt idx="19">
                  <c:v>539.07634082121137</c:v>
                </c:pt>
                <c:pt idx="20">
                  <c:v>536.18509209571096</c:v>
                </c:pt>
                <c:pt idx="21">
                  <c:v>533.30796767199456</c:v>
                </c:pt>
                <c:pt idx="22">
                  <c:v>530.44488483101156</c:v>
                </c:pt>
                <c:pt idx="23">
                  <c:v>527.59576141834259</c:v>
                </c:pt>
                <c:pt idx="24">
                  <c:v>524.76051583980404</c:v>
                </c:pt>
                <c:pt idx="25">
                  <c:v>521.93906705708241</c:v>
                </c:pt>
                <c:pt idx="26">
                  <c:v>519.13133458341372</c:v>
                </c:pt>
                <c:pt idx="27">
                  <c:v>516.33723847929434</c:v>
                </c:pt>
                <c:pt idx="28">
                  <c:v>513.55669934823607</c:v>
                </c:pt>
                <c:pt idx="29">
                  <c:v>510.78963833255114</c:v>
                </c:pt>
                <c:pt idx="30">
                  <c:v>508.03597710918041</c:v>
                </c:pt>
                <c:pt idx="31">
                  <c:v>505.29563788555276</c:v>
                </c:pt>
                <c:pt idx="32">
                  <c:v>502.56854339548465</c:v>
                </c:pt>
                <c:pt idx="33">
                  <c:v>499.85461689511135</c:v>
                </c:pt>
                <c:pt idx="34">
                  <c:v>497.15378215885789</c:v>
                </c:pt>
                <c:pt idx="35">
                  <c:v>494.46596347544016</c:v>
                </c:pt>
                <c:pt idx="36">
                  <c:v>491.79108564390583</c:v>
                </c:pt>
                <c:pt idx="37">
                  <c:v>489.1290739697032</c:v>
                </c:pt>
                <c:pt idx="38">
                  <c:v>486.47985426079265</c:v>
                </c:pt>
                <c:pt idx="39">
                  <c:v>483.84335282378061</c:v>
                </c:pt>
                <c:pt idx="40">
                  <c:v>481.21949646009955</c:v>
                </c:pt>
                <c:pt idx="41">
                  <c:v>478.60821246220871</c:v>
                </c:pt>
                <c:pt idx="42">
                  <c:v>476.0094286098381</c:v>
                </c:pt>
                <c:pt idx="43">
                  <c:v>473.42307316625465</c:v>
                </c:pt>
                <c:pt idx="44">
                  <c:v>470.8490748745719</c:v>
                </c:pt>
                <c:pt idx="45">
                  <c:v>468.2873629540793</c:v>
                </c:pt>
                <c:pt idx="46">
                  <c:v>465.73786709661488</c:v>
                </c:pt>
                <c:pt idx="47">
                  <c:v>463.2005174629569</c:v>
                </c:pt>
                <c:pt idx="48">
                  <c:v>460.67524467925944</c:v>
                </c:pt>
                <c:pt idx="49">
                  <c:v>458.1619798335056</c:v>
                </c:pt>
                <c:pt idx="50">
                  <c:v>455.66065447200106</c:v>
                </c:pt>
                <c:pt idx="51">
                  <c:v>453.17120059589195</c:v>
                </c:pt>
                <c:pt idx="52">
                  <c:v>450.69355065771583</c:v>
                </c:pt>
                <c:pt idx="53">
                  <c:v>448.22763755797769</c:v>
                </c:pt>
                <c:pt idx="54">
                  <c:v>445.77339464176123</c:v>
                </c:pt>
                <c:pt idx="55">
                  <c:v>443.33075569536231</c:v>
                </c:pt>
                <c:pt idx="56">
                  <c:v>440.8996549429578</c:v>
                </c:pt>
                <c:pt idx="57">
                  <c:v>438.48002704329554</c:v>
                </c:pt>
                <c:pt idx="58">
                  <c:v>436.07180708641931</c:v>
                </c:pt>
                <c:pt idx="59">
                  <c:v>433.67493059041635</c:v>
                </c:pt>
                <c:pt idx="60">
                  <c:v>431.2893334981959</c:v>
                </c:pt>
                <c:pt idx="61">
                  <c:v>428.91495217429178</c:v>
                </c:pt>
                <c:pt idx="62">
                  <c:v>426.55172340169599</c:v>
                </c:pt>
                <c:pt idx="63">
                  <c:v>424.19958437871389</c:v>
                </c:pt>
                <c:pt idx="64">
                  <c:v>421.85847271585351</c:v>
                </c:pt>
                <c:pt idx="65">
                  <c:v>419.52832643273018</c:v>
                </c:pt>
                <c:pt idx="66">
                  <c:v>417.20908395500999</c:v>
                </c:pt>
                <c:pt idx="67">
                  <c:v>414.90068411136667</c:v>
                </c:pt>
                <c:pt idx="68">
                  <c:v>412.6030661304751</c:v>
                </c:pt>
                <c:pt idx="69">
                  <c:v>410.31616963802014</c:v>
                </c:pt>
                <c:pt idx="70">
                  <c:v>408.03993465373912</c:v>
                </c:pt>
                <c:pt idx="71">
                  <c:v>405.7743015884821</c:v>
                </c:pt>
                <c:pt idx="72">
                  <c:v>403.51921124130342</c:v>
                </c:pt>
                <c:pt idx="73">
                  <c:v>401.27460479656918</c:v>
                </c:pt>
                <c:pt idx="74">
                  <c:v>399.04042382109992</c:v>
                </c:pt>
                <c:pt idx="75">
                  <c:v>396.81661026132497</c:v>
                </c:pt>
                <c:pt idx="76">
                  <c:v>394.60310644047161</c:v>
                </c:pt>
                <c:pt idx="77">
                  <c:v>392.39985505576908</c:v>
                </c:pt>
                <c:pt idx="78">
                  <c:v>390.20679917568225</c:v>
                </c:pt>
                <c:pt idx="79">
                  <c:v>388.02388223716264</c:v>
                </c:pt>
                <c:pt idx="80">
                  <c:v>385.8510480429286</c:v>
                </c:pt>
                <c:pt idx="81">
                  <c:v>383.68824075876159</c:v>
                </c:pt>
                <c:pt idx="82">
                  <c:v>381.53540491083015</c:v>
                </c:pt>
                <c:pt idx="83">
                  <c:v>379.39248538303207</c:v>
                </c:pt>
                <c:pt idx="84">
                  <c:v>377.25942741436268</c:v>
                </c:pt>
                <c:pt idx="85">
                  <c:v>375.13617659629983</c:v>
                </c:pt>
                <c:pt idx="86">
                  <c:v>373.02267887021651</c:v>
                </c:pt>
                <c:pt idx="87">
                  <c:v>370.91888052480795</c:v>
                </c:pt>
                <c:pt idx="88">
                  <c:v>368.8247281935478</c:v>
                </c:pt>
                <c:pt idx="89">
                  <c:v>366.74016885215713</c:v>
                </c:pt>
                <c:pt idx="90">
                  <c:v>364.66514981610135</c:v>
                </c:pt>
                <c:pt idx="91">
                  <c:v>362.59961873810232</c:v>
                </c:pt>
                <c:pt idx="92">
                  <c:v>360.54352360567577</c:v>
                </c:pt>
                <c:pt idx="93">
                  <c:v>358.49681273868305</c:v>
                </c:pt>
                <c:pt idx="94">
                  <c:v>356.45943478691049</c:v>
                </c:pt>
                <c:pt idx="95">
                  <c:v>354.43133872766055</c:v>
                </c:pt>
                <c:pt idx="96">
                  <c:v>352.41247386337011</c:v>
                </c:pt>
                <c:pt idx="97">
                  <c:v>350.40278981924087</c:v>
                </c:pt>
                <c:pt idx="98">
                  <c:v>348.40223654089743</c:v>
                </c:pt>
                <c:pt idx="99">
                  <c:v>346.41076429205646</c:v>
                </c:pt>
                <c:pt idx="100">
                  <c:v>344.42832365222114</c:v>
                </c:pt>
                <c:pt idx="101">
                  <c:v>342.45486551438933</c:v>
                </c:pt>
                <c:pt idx="102">
                  <c:v>340.49034108278602</c:v>
                </c:pt>
                <c:pt idx="103">
                  <c:v>338.53470187060793</c:v>
                </c:pt>
                <c:pt idx="104">
                  <c:v>336.58789969779195</c:v>
                </c:pt>
                <c:pt idx="105">
                  <c:v>334.64988668879801</c:v>
                </c:pt>
                <c:pt idx="106">
                  <c:v>332.72061527041262</c:v>
                </c:pt>
                <c:pt idx="107">
                  <c:v>330.80003816956719</c:v>
                </c:pt>
                <c:pt idx="108">
                  <c:v>328.88810841117845</c:v>
                </c:pt>
                <c:pt idx="109">
                  <c:v>326.98477931600007</c:v>
                </c:pt>
                <c:pt idx="110">
                  <c:v>325.09000449849941</c:v>
                </c:pt>
                <c:pt idx="111">
                  <c:v>323.20373786474363</c:v>
                </c:pt>
                <c:pt idx="112">
                  <c:v>321.32593361030968</c:v>
                </c:pt>
                <c:pt idx="113">
                  <c:v>319.45654621820495</c:v>
                </c:pt>
                <c:pt idx="114">
                  <c:v>317.59553045681082</c:v>
                </c:pt>
                <c:pt idx="115">
                  <c:v>315.74284137783718</c:v>
                </c:pt>
                <c:pt idx="116">
                  <c:v>313.89843431429813</c:v>
                </c:pt>
                <c:pt idx="117">
                  <c:v>312.06226487849949</c:v>
                </c:pt>
                <c:pt idx="118">
                  <c:v>310.23428896004629</c:v>
                </c:pt>
                <c:pt idx="119">
                  <c:v>308.41446272386492</c:v>
                </c:pt>
                <c:pt idx="120">
                  <c:v>306.60274260824019</c:v>
                </c:pt>
                <c:pt idx="121">
                  <c:v>304.79908532286845</c:v>
                </c:pt>
                <c:pt idx="122">
                  <c:v>303.00344784692737</c:v>
                </c:pt>
                <c:pt idx="123">
                  <c:v>301.21578742716105</c:v>
                </c:pt>
                <c:pt idx="124">
                  <c:v>299.43606157597929</c:v>
                </c:pt>
                <c:pt idx="125">
                  <c:v>297.66422806957155</c:v>
                </c:pt>
                <c:pt idx="126">
                  <c:v>295.90024494603819</c:v>
                </c:pt>
                <c:pt idx="127">
                  <c:v>294.14407050353594</c:v>
                </c:pt>
                <c:pt idx="128">
                  <c:v>292.39566329843672</c:v>
                </c:pt>
                <c:pt idx="129">
                  <c:v>290.65498214350146</c:v>
                </c:pt>
                <c:pt idx="130">
                  <c:v>288.92198610606977</c:v>
                </c:pt>
                <c:pt idx="131">
                  <c:v>287.19663450626365</c:v>
                </c:pt>
                <c:pt idx="132">
                  <c:v>285.47888691520455</c:v>
                </c:pt>
                <c:pt idx="133">
                  <c:v>283.76870315324402</c:v>
                </c:pt>
                <c:pt idx="134">
                  <c:v>282.06604328821027</c:v>
                </c:pt>
                <c:pt idx="135">
                  <c:v>280.37086763366796</c:v>
                </c:pt>
                <c:pt idx="136">
                  <c:v>278.68313674719138</c:v>
                </c:pt>
                <c:pt idx="137">
                  <c:v>277.00281142865038</c:v>
                </c:pt>
                <c:pt idx="138">
                  <c:v>275.32985271851135</c:v>
                </c:pt>
                <c:pt idx="139">
                  <c:v>273.66422189615156</c:v>
                </c:pt>
                <c:pt idx="140">
                  <c:v>272.00588047818655</c:v>
                </c:pt>
                <c:pt idx="141">
                  <c:v>270.35479021680845</c:v>
                </c:pt>
                <c:pt idx="142">
                  <c:v>268.71091309814091</c:v>
                </c:pt>
                <c:pt idx="143">
                  <c:v>267.07421134060587</c:v>
                </c:pt>
                <c:pt idx="144">
                  <c:v>265.44464739330022</c:v>
                </c:pt>
                <c:pt idx="145">
                  <c:v>263.82218393439126</c:v>
                </c:pt>
                <c:pt idx="146">
                  <c:v>262.20678386951698</c:v>
                </c:pt>
                <c:pt idx="147">
                  <c:v>260.5984103302066</c:v>
                </c:pt>
                <c:pt idx="148">
                  <c:v>258.99702667230707</c:v>
                </c:pt>
                <c:pt idx="149">
                  <c:v>257.40259647442667</c:v>
                </c:pt>
                <c:pt idx="150">
                  <c:v>255.81508353638714</c:v>
                </c:pt>
                <c:pt idx="151">
                  <c:v>254.23445187769119</c:v>
                </c:pt>
                <c:pt idx="152">
                  <c:v>252.66066573599795</c:v>
                </c:pt>
                <c:pt idx="153">
                  <c:v>251.09368956561531</c:v>
                </c:pt>
                <c:pt idx="154">
                  <c:v>249.53348803599863</c:v>
                </c:pt>
                <c:pt idx="155">
                  <c:v>247.98002603026589</c:v>
                </c:pt>
                <c:pt idx="156">
                  <c:v>246.43326864372057</c:v>
                </c:pt>
                <c:pt idx="157">
                  <c:v>244.8931811823893</c:v>
                </c:pt>
                <c:pt idx="158">
                  <c:v>243.35972916156737</c:v>
                </c:pt>
                <c:pt idx="159">
                  <c:v>241.83287830437979</c:v>
                </c:pt>
                <c:pt idx="160">
                  <c:v>240.31259454034802</c:v>
                </c:pt>
                <c:pt idx="161">
                  <c:v>238.79884400397395</c:v>
                </c:pt>
                <c:pt idx="162">
                  <c:v>237.29159303332864</c:v>
                </c:pt>
                <c:pt idx="163">
                  <c:v>235.79080816865837</c:v>
                </c:pt>
                <c:pt idx="164">
                  <c:v>234.29645615099474</c:v>
                </c:pt>
                <c:pt idx="165">
                  <c:v>232.80850392078185</c:v>
                </c:pt>
                <c:pt idx="166">
                  <c:v>231.32691861650795</c:v>
                </c:pt>
                <c:pt idx="167">
                  <c:v>229.85166757335435</c:v>
                </c:pt>
                <c:pt idx="168">
                  <c:v>228.38271832184734</c:v>
                </c:pt>
                <c:pt idx="169">
                  <c:v>226.92003858652743</c:v>
                </c:pt>
                <c:pt idx="170">
                  <c:v>225.46359628462278</c:v>
                </c:pt>
                <c:pt idx="171">
                  <c:v>224.01335952473852</c:v>
                </c:pt>
                <c:pt idx="172">
                  <c:v>222.56929660555028</c:v>
                </c:pt>
                <c:pt idx="173">
                  <c:v>221.13137601451319</c:v>
                </c:pt>
                <c:pt idx="174">
                  <c:v>219.6995664265757</c:v>
                </c:pt>
                <c:pt idx="175">
                  <c:v>218.27383670290897</c:v>
                </c:pt>
                <c:pt idx="176">
                  <c:v>216.85415588963878</c:v>
                </c:pt>
                <c:pt idx="177">
                  <c:v>215.44049321659492</c:v>
                </c:pt>
                <c:pt idx="178">
                  <c:v>214.03281809606341</c:v>
                </c:pt>
                <c:pt idx="179">
                  <c:v>212.63110012155295</c:v>
                </c:pt>
                <c:pt idx="180">
                  <c:v>211.2353090665672</c:v>
                </c:pt>
                <c:pt idx="181">
                  <c:v>209.84541488339022</c:v>
                </c:pt>
                <c:pt idx="182">
                  <c:v>208.46138770187633</c:v>
                </c:pt>
                <c:pt idx="183">
                  <c:v>207.08319782825504</c:v>
                </c:pt>
                <c:pt idx="184">
                  <c:v>205.71081574393821</c:v>
                </c:pt>
                <c:pt idx="185">
                  <c:v>204.3442121043434</c:v>
                </c:pt>
                <c:pt idx="186">
                  <c:v>202.98335773771976</c:v>
                </c:pt>
                <c:pt idx="187">
                  <c:v>201.62822364398795</c:v>
                </c:pt>
                <c:pt idx="188">
                  <c:v>200.27878099358429</c:v>
                </c:pt>
                <c:pt idx="189">
                  <c:v>198.93500112631818</c:v>
                </c:pt>
                <c:pt idx="190">
                  <c:v>197.59685555023367</c:v>
                </c:pt>
                <c:pt idx="191">
                  <c:v>196.2643159404837</c:v>
                </c:pt>
                <c:pt idx="192">
                  <c:v>194.93735413820906</c:v>
                </c:pt>
                <c:pt idx="193">
                  <c:v>193.61594214942983</c:v>
                </c:pt>
                <c:pt idx="194">
                  <c:v>192.3000521439406</c:v>
                </c:pt>
                <c:pt idx="195">
                  <c:v>190.98965645421833</c:v>
                </c:pt>
                <c:pt idx="196">
                  <c:v>189.68472757433511</c:v>
                </c:pt>
                <c:pt idx="197">
                  <c:v>188.38523815888146</c:v>
                </c:pt>
                <c:pt idx="198">
                  <c:v>187.09116102189546</c:v>
                </c:pt>
                <c:pt idx="199">
                  <c:v>185.80246913580248</c:v>
                </c:pt>
                <c:pt idx="200">
                  <c:v>184.51913563035993</c:v>
                </c:pt>
                <c:pt idx="201">
                  <c:v>183.24113379161338</c:v>
                </c:pt>
                <c:pt idx="202">
                  <c:v>181.96843706085605</c:v>
                </c:pt>
                <c:pt idx="203">
                  <c:v>180.70101903360126</c:v>
                </c:pt>
                <c:pt idx="204">
                  <c:v>179.43885345855699</c:v>
                </c:pt>
                <c:pt idx="205">
                  <c:v>178.18191423661398</c:v>
                </c:pt>
                <c:pt idx="206">
                  <c:v>176.93017541983528</c:v>
                </c:pt>
                <c:pt idx="207">
                  <c:v>175.68361121045939</c:v>
                </c:pt>
                <c:pt idx="208">
                  <c:v>174.44219595990455</c:v>
                </c:pt>
                <c:pt idx="209">
                  <c:v>173.20590416778674</c:v>
                </c:pt>
                <c:pt idx="210">
                  <c:v>171.97471048093934</c:v>
                </c:pt>
                <c:pt idx="211">
                  <c:v>170.74858969244451</c:v>
                </c:pt>
                <c:pt idx="212">
                  <c:v>169.5275167406686</c:v>
                </c:pt>
                <c:pt idx="213">
                  <c:v>168.31146670830663</c:v>
                </c:pt>
                <c:pt idx="214">
                  <c:v>167.10041482143242</c:v>
                </c:pt>
                <c:pt idx="215">
                  <c:v>165.89433644855779</c:v>
                </c:pt>
                <c:pt idx="216">
                  <c:v>164.69320709969577</c:v>
                </c:pt>
                <c:pt idx="217">
                  <c:v>163.49700242543366</c:v>
                </c:pt>
                <c:pt idx="218">
                  <c:v>162.30569821601051</c:v>
                </c:pt>
                <c:pt idx="219">
                  <c:v>161.11927040040405</c:v>
                </c:pt>
                <c:pt idx="220">
                  <c:v>159.93769504542041</c:v>
                </c:pt>
                <c:pt idx="221">
                  <c:v>158.76094835479591</c:v>
                </c:pt>
                <c:pt idx="222">
                  <c:v>157.58900666829919</c:v>
                </c:pt>
                <c:pt idx="223">
                  <c:v>156.42184646084655</c:v>
                </c:pt>
                <c:pt idx="224">
                  <c:v>155.25944434161721</c:v>
                </c:pt>
                <c:pt idx="225">
                  <c:v>154.10177705318125</c:v>
                </c:pt>
                <c:pt idx="226">
                  <c:v>152.94882147062805</c:v>
                </c:pt>
                <c:pt idx="227">
                  <c:v>151.8005546007069</c:v>
                </c:pt>
                <c:pt idx="228">
                  <c:v>150.65695358096866</c:v>
                </c:pt>
                <c:pt idx="229">
                  <c:v>149.51799567891777</c:v>
                </c:pt>
                <c:pt idx="230">
                  <c:v>148.38365829116731</c:v>
                </c:pt>
                <c:pt idx="231">
                  <c:v>147.25391894260292</c:v>
                </c:pt>
                <c:pt idx="232">
                  <c:v>146.12875528555071</c:v>
                </c:pt>
                <c:pt idx="233">
                  <c:v>145.00814509895247</c:v>
                </c:pt>
                <c:pt idx="234">
                  <c:v>143.89206628754624</c:v>
                </c:pt>
                <c:pt idx="235">
                  <c:v>142.78049688105284</c:v>
                </c:pt>
                <c:pt idx="236">
                  <c:v>141.67341503336962</c:v>
                </c:pt>
                <c:pt idx="237">
                  <c:v>140.57079902176827</c:v>
                </c:pt>
                <c:pt idx="238">
                  <c:v>139.47262724609851</c:v>
                </c:pt>
                <c:pt idx="239">
                  <c:v>138.37887822799911</c:v>
                </c:pt>
                <c:pt idx="240">
                  <c:v>137.28953061011407</c:v>
                </c:pt>
                <c:pt idx="241">
                  <c:v>136.20456315531334</c:v>
                </c:pt>
                <c:pt idx="242">
                  <c:v>135.12395474592</c:v>
                </c:pt>
                <c:pt idx="243">
                  <c:v>134.04768438294303</c:v>
                </c:pt>
                <c:pt idx="244">
                  <c:v>132.97573118531659</c:v>
                </c:pt>
                <c:pt idx="245">
                  <c:v>131.9080743891426</c:v>
                </c:pt>
                <c:pt idx="246">
                  <c:v>130.84469334694023</c:v>
                </c:pt>
                <c:pt idx="247">
                  <c:v>129.78556752690042</c:v>
                </c:pt>
                <c:pt idx="248">
                  <c:v>128.73067651214677</c:v>
                </c:pt>
                <c:pt idx="249">
                  <c:v>127.68</c:v>
                </c:pt>
                <c:pt idx="250">
                  <c:v>126.63351780124856</c:v>
                </c:pt>
                <c:pt idx="251">
                  <c:v>125.59120983942432</c:v>
                </c:pt>
                <c:pt idx="252">
                  <c:v>124.55305615008484</c:v>
                </c:pt>
                <c:pt idx="253">
                  <c:v>123.51903688009821</c:v>
                </c:pt>
                <c:pt idx="254">
                  <c:v>122.48913228693453</c:v>
                </c:pt>
                <c:pt idx="255">
                  <c:v>121.46332273796259</c:v>
                </c:pt>
                <c:pt idx="256">
                  <c:v>120.4415887097515</c:v>
                </c:pt>
                <c:pt idx="257">
                  <c:v>119.42391078737694</c:v>
                </c:pt>
                <c:pt idx="258">
                  <c:v>118.41026966373192</c:v>
                </c:pt>
                <c:pt idx="259">
                  <c:v>117.40064613884334</c:v>
                </c:pt>
                <c:pt idx="260">
                  <c:v>116.39502111919381</c:v>
                </c:pt>
                <c:pt idx="261">
                  <c:v>115.39337561704713</c:v>
                </c:pt>
                <c:pt idx="262">
                  <c:v>114.39569074977828</c:v>
                </c:pt>
                <c:pt idx="263">
                  <c:v>113.40194773921007</c:v>
                </c:pt>
                <c:pt idx="264">
                  <c:v>112.41212791095313</c:v>
                </c:pt>
                <c:pt idx="265">
                  <c:v>111.42621269375053</c:v>
                </c:pt>
                <c:pt idx="266">
                  <c:v>110.44418361882754</c:v>
                </c:pt>
                <c:pt idx="267">
                  <c:v>109.46602231924544</c:v>
                </c:pt>
                <c:pt idx="268">
                  <c:v>108.49171052926118</c:v>
                </c:pt>
                <c:pt idx="269">
                  <c:v>107.52123008369028</c:v>
                </c:pt>
                <c:pt idx="270">
                  <c:v>106.55456291727364</c:v>
                </c:pt>
                <c:pt idx="271">
                  <c:v>105.59169106405113</c:v>
                </c:pt>
                <c:pt idx="272">
                  <c:v>104.63259665673809</c:v>
                </c:pt>
                <c:pt idx="273">
                  <c:v>103.67726192610615</c:v>
                </c:pt>
                <c:pt idx="274">
                  <c:v>102.72566920036826</c:v>
                </c:pt>
                <c:pt idx="275">
                  <c:v>101.77780090456918</c:v>
                </c:pt>
                <c:pt idx="276">
                  <c:v>100.83363955997953</c:v>
                </c:pt>
                <c:pt idx="277">
                  <c:v>99.893167783494107</c:v>
                </c:pt>
                <c:pt idx="278">
                  <c:v>98.95636828703374</c:v>
                </c:pt>
                <c:pt idx="279">
                  <c:v>98.023223876953125</c:v>
                </c:pt>
                <c:pt idx="280">
                  <c:v>97.093717453451063</c:v>
                </c:pt>
                <c:pt idx="281">
                  <c:v>96.167832009986228</c:v>
                </c:pt>
                <c:pt idx="282">
                  <c:v>95.245550632695313</c:v>
                </c:pt>
                <c:pt idx="283">
                  <c:v>94.326856499816813</c:v>
                </c:pt>
                <c:pt idx="284">
                  <c:v>93.411732881119065</c:v>
                </c:pt>
                <c:pt idx="285">
                  <c:v>92.500163137329878</c:v>
                </c:pt>
                <c:pt idx="286">
                  <c:v>91.592130719573447</c:v>
                </c:pt>
                <c:pt idx="287">
                  <c:v>90.687619168807942</c:v>
                </c:pt>
                <c:pt idx="288">
                  <c:v>89.786612115270657</c:v>
                </c:pt>
                <c:pt idx="289">
                  <c:v>88.889093277922314</c:v>
                </c:pt>
                <c:pt idx="290">
                  <c:v>87.995046463900792</c:v>
                </c:pt>
                <c:pt idx="291">
                  <c:v>87.104455567973105</c:v>
                </c:pt>
                <c:pt idx="292">
                  <c:v>86.217304571996067</c:v>
                </c:pt>
                <c:pt idx="293">
                  <c:v>85.333577544376965</c:v>
                </c:pt>
                <c:pt idx="294">
                  <c:v>84.453258639540422</c:v>
                </c:pt>
                <c:pt idx="295">
                  <c:v>83.576332097397142</c:v>
                </c:pt>
                <c:pt idx="296">
                  <c:v>82.7027822428185</c:v>
                </c:pt>
                <c:pt idx="297">
                  <c:v>81.832593485112227</c:v>
                </c:pt>
                <c:pt idx="298">
                  <c:v>80.965750317503932</c:v>
                </c:pt>
                <c:pt idx="299">
                  <c:v>80.102237316620517</c:v>
                </c:pt>
                <c:pt idx="300">
                  <c:v>79.242039141978807</c:v>
                </c:pt>
                <c:pt idx="301">
                  <c:v>78.385140535475728</c:v>
                </c:pt>
                <c:pt idx="302">
                  <c:v>77.531526320884382</c:v>
                </c:pt>
                <c:pt idx="303">
                  <c:v>76.68118140335099</c:v>
                </c:pt>
                <c:pt idx="304">
                  <c:v>75.834090768898022</c:v>
                </c:pt>
                <c:pt idx="305">
                  <c:v>74.990239483927667</c:v>
                </c:pt>
                <c:pt idx="306">
                  <c:v>74.149612694732298</c:v>
                </c:pt>
                <c:pt idx="307">
                  <c:v>73.312195627004769</c:v>
                </c:pt>
                <c:pt idx="308">
                  <c:v>72.47797358535496</c:v>
                </c:pt>
                <c:pt idx="309">
                  <c:v>71.646931952827174</c:v>
                </c:pt>
                <c:pt idx="310">
                  <c:v>70.819056190423453</c:v>
                </c:pt>
                <c:pt idx="311">
                  <c:v>69.994331836627339</c:v>
                </c:pt>
                <c:pt idx="312">
                  <c:v>69.172744506933611</c:v>
                </c:pt>
                <c:pt idx="313">
                  <c:v>68.354279893378873</c:v>
                </c:pt>
                <c:pt idx="314">
                  <c:v>67.538923764077481</c:v>
                </c:pt>
                <c:pt idx="315">
                  <c:v>66.726661962758271</c:v>
                </c:pt>
                <c:pt idx="316">
                  <c:v>65.917480408307426</c:v>
                </c:pt>
                <c:pt idx="317">
                  <c:v>65.111365094311168</c:v>
                </c:pt>
                <c:pt idx="318">
                  <c:v>64.308302088604421</c:v>
                </c:pt>
                <c:pt idx="319">
                  <c:v>63.508277532820443</c:v>
                </c:pt>
                <c:pt idx="320">
                  <c:v>62.711277641945344</c:v>
                </c:pt>
                <c:pt idx="321">
                  <c:v>61.917288703873567</c:v>
                </c:pt>
                <c:pt idx="322">
                  <c:v>61.126297078968889</c:v>
                </c:pt>
                <c:pt idx="323">
                  <c:v>60.338289199625365</c:v>
                </c:pt>
                <c:pt idx="324">
                  <c:v>59.553251569834572</c:v>
                </c:pt>
                <c:pt idx="325">
                  <c:v>58.771170764753037</c:v>
                </c:pt>
                <c:pt idx="326">
                  <c:v>57.992033430274319</c:v>
                </c:pt>
                <c:pt idx="327">
                  <c:v>57.215826282602677</c:v>
                </c:pt>
                <c:pt idx="328">
                  <c:v>56.442536107831359</c:v>
                </c:pt>
                <c:pt idx="329">
                  <c:v>55.672149761521268</c:v>
                </c:pt>
                <c:pt idx="330">
                  <c:v>54.904654168285447</c:v>
                </c:pt>
                <c:pt idx="331">
                  <c:v>54.140036321373486</c:v>
                </c:pt>
                <c:pt idx="332">
                  <c:v>53.378283282261179</c:v>
                </c:pt>
                <c:pt idx="333">
                  <c:v>52.619382180240734</c:v>
                </c:pt>
                <c:pt idx="334">
                  <c:v>51.86332021201585</c:v>
                </c:pt>
                <c:pt idx="335">
                  <c:v>51.110084641297675</c:v>
                </c:pt>
                <c:pt idx="336">
                  <c:v>50.359662798405196</c:v>
                </c:pt>
                <c:pt idx="337">
                  <c:v>49.612042079866313</c:v>
                </c:pt>
                <c:pt idx="338">
                  <c:v>48.867209948023941</c:v>
                </c:pt>
                <c:pt idx="339">
                  <c:v>48.125153930642284</c:v>
                </c:pt>
                <c:pt idx="340">
                  <c:v>47.385861620518313</c:v>
                </c:pt>
                <c:pt idx="341">
                  <c:v>46.649320675093179</c:v>
                </c:pt>
                <c:pt idx="342">
                  <c:v>45.915518816068726</c:v>
                </c:pt>
                <c:pt idx="343">
                  <c:v>45.184443829024531</c:v>
                </c:pt>
                <c:pt idx="344">
                  <c:v>44.456083563038788</c:v>
                </c:pt>
                <c:pt idx="345">
                  <c:v>43.730425930311554</c:v>
                </c:pt>
                <c:pt idx="346">
                  <c:v>43.007458905790031</c:v>
                </c:pt>
                <c:pt idx="347">
                  <c:v>42.287170526796274</c:v>
                </c:pt>
                <c:pt idx="348">
                  <c:v>41.569548892657934</c:v>
                </c:pt>
                <c:pt idx="349">
                  <c:v>40.854582164341792</c:v>
                </c:pt>
                <c:pt idx="350">
                  <c:v>40.142258564088479</c:v>
                </c:pt>
                <c:pt idx="351">
                  <c:v>39.432566375050186</c:v>
                </c:pt>
                <c:pt idx="352">
                  <c:v>38.725493940931472</c:v>
                </c:pt>
                <c:pt idx="353">
                  <c:v>38.021029665631687</c:v>
                </c:pt>
                <c:pt idx="354">
                  <c:v>37.319162012889961</c:v>
                </c:pt>
                <c:pt idx="355">
                  <c:v>36.619879505932403</c:v>
                </c:pt>
                <c:pt idx="356">
                  <c:v>35.923170727121715</c:v>
                </c:pt>
                <c:pt idx="357">
                  <c:v>35.229024317609742</c:v>
                </c:pt>
                <c:pt idx="358">
                  <c:v>34.537428976991549</c:v>
                </c:pt>
                <c:pt idx="359">
                  <c:v>33.84837346296149</c:v>
                </c:pt>
                <c:pt idx="360">
                  <c:v>33.161846590972573</c:v>
                </c:pt>
                <c:pt idx="361">
                  <c:v>32.477837233897617</c:v>
                </c:pt>
                <c:pt idx="362">
                  <c:v>31.796334321692768</c:v>
                </c:pt>
                <c:pt idx="363">
                  <c:v>31.117326841062265</c:v>
                </c:pt>
                <c:pt idx="364">
                  <c:v>30.440803835126815</c:v>
                </c:pt>
                <c:pt idx="365">
                  <c:v>29.766754403093643</c:v>
                </c:pt>
                <c:pt idx="366">
                  <c:v>29.095167699928652</c:v>
                </c:pt>
                <c:pt idx="367">
                  <c:v>28.426032936030055</c:v>
                </c:pt>
                <c:pt idx="368">
                  <c:v>27.759339376905302</c:v>
                </c:pt>
                <c:pt idx="369">
                  <c:v>27.095076342849808</c:v>
                </c:pt>
                <c:pt idx="370">
                  <c:v>26.433233208627456</c:v>
                </c:pt>
                <c:pt idx="371">
                  <c:v>25.77379940315285</c:v>
                </c:pt>
                <c:pt idx="372">
                  <c:v>25.116764409176682</c:v>
                </c:pt>
                <c:pt idx="373">
                  <c:v>24.462117762972667</c:v>
                </c:pt>
                <c:pt idx="374">
                  <c:v>23.809849054026358</c:v>
                </c:pt>
                <c:pt idx="375">
                  <c:v>23.159947924725714</c:v>
                </c:pt>
                <c:pt idx="376">
                  <c:v>22.512404070054487</c:v>
                </c:pt>
                <c:pt idx="377">
                  <c:v>21.867207237287317</c:v>
                </c:pt>
                <c:pt idx="378">
                  <c:v>21.224347225686643</c:v>
                </c:pt>
                <c:pt idx="379">
                  <c:v>20.583813886201142</c:v>
                </c:pt>
                <c:pt idx="380">
                  <c:v>19.945597121167168</c:v>
                </c:pt>
                <c:pt idx="381">
                  <c:v>19.309686884011711</c:v>
                </c:pt>
                <c:pt idx="382">
                  <c:v>18.676073178956898</c:v>
                </c:pt>
                <c:pt idx="383">
                  <c:v>18.044746060726482</c:v>
                </c:pt>
                <c:pt idx="384">
                  <c:v>17.415695634254831</c:v>
                </c:pt>
                <c:pt idx="385">
                  <c:v>16.7889120543974</c:v>
                </c:pt>
                <c:pt idx="386">
                  <c:v>16.164385525643183</c:v>
                </c:pt>
                <c:pt idx="387">
                  <c:v>15.542106301828397</c:v>
                </c:pt>
                <c:pt idx="388">
                  <c:v>14.922064685853059</c:v>
                </c:pt>
                <c:pt idx="389">
                  <c:v>14.304251029399012</c:v>
                </c:pt>
                <c:pt idx="390">
                  <c:v>13.688655732649465</c:v>
                </c:pt>
                <c:pt idx="391">
                  <c:v>13.075269244010343</c:v>
                </c:pt>
                <c:pt idx="392">
                  <c:v>12.464082059833771</c:v>
                </c:pt>
                <c:pt idx="393">
                  <c:v>11.855084724143694</c:v>
                </c:pt>
                <c:pt idx="394">
                  <c:v>11.248267828362202</c:v>
                </c:pt>
                <c:pt idx="395">
                  <c:v>10.643622011038275</c:v>
                </c:pt>
                <c:pt idx="396">
                  <c:v>10.041137957578172</c:v>
                </c:pt>
                <c:pt idx="397">
                  <c:v>9.4408063999781291</c:v>
                </c:pt>
                <c:pt idx="398">
                  <c:v>8.8426181165577304</c:v>
                </c:pt>
                <c:pt idx="399">
                  <c:v>8.2465639316951922</c:v>
                </c:pt>
                <c:pt idx="400">
                  <c:v>7.652634715565199</c:v>
                </c:pt>
                <c:pt idx="401">
                  <c:v>7.0608213838778511</c:v>
                </c:pt>
                <c:pt idx="402">
                  <c:v>6.4711148976191453</c:v>
                </c:pt>
                <c:pt idx="403">
                  <c:v>5.8835062627929062</c:v>
                </c:pt>
                <c:pt idx="404">
                  <c:v>5.2979865301652467</c:v>
                </c:pt>
                <c:pt idx="405">
                  <c:v>4.7145467950099942</c:v>
                </c:pt>
                <c:pt idx="406">
                  <c:v>4.1331781968561359</c:v>
                </c:pt>
                <c:pt idx="407">
                  <c:v>3.5538719192358315</c:v>
                </c:pt>
                <c:pt idx="408">
                  <c:v>2.9766191894356098</c:v>
                </c:pt>
                <c:pt idx="409">
                  <c:v>2.4014112782484176</c:v>
                </c:pt>
                <c:pt idx="410">
                  <c:v>1.8282394997264646</c:v>
                </c:pt>
                <c:pt idx="411">
                  <c:v>1.2570952109373934</c:v>
                </c:pt>
                <c:pt idx="412">
                  <c:v>0.68796981171993821</c:v>
                </c:pt>
                <c:pt idx="413">
                  <c:v>0.12085474444324973</c:v>
                </c:pt>
                <c:pt idx="414">
                  <c:v>-0.44425850623431984</c:v>
                </c:pt>
                <c:pt idx="415">
                  <c:v>-1.0073784136029076</c:v>
                </c:pt>
                <c:pt idx="416">
                  <c:v>-1.5685134091392854</c:v>
                </c:pt>
                <c:pt idx="417">
                  <c:v>-2.1276718827415095</c:v>
                </c:pt>
                <c:pt idx="418">
                  <c:v>-2.6848621829640251</c:v>
                </c:pt>
                <c:pt idx="419">
                  <c:v>-3.2400926172495019</c:v>
                </c:pt>
                <c:pt idx="420">
                  <c:v>-3.7933714521608124</c:v>
                </c:pt>
                <c:pt idx="421">
                  <c:v>-4.3447069136100254</c:v>
                </c:pt>
                <c:pt idx="422">
                  <c:v>-4.894107187087485</c:v>
                </c:pt>
                <c:pt idx="423">
                  <c:v>-5.4415804178878204</c:v>
                </c:pt>
                <c:pt idx="424">
                  <c:v>-5.9871347113362674</c:v>
                </c:pt>
                <c:pt idx="425">
                  <c:v>-6.5307781330116939</c:v>
                </c:pt>
                <c:pt idx="426">
                  <c:v>-7.0725187089702501</c:v>
                </c:pt>
                <c:pt idx="427">
                  <c:v>-7.6123644259653247</c:v>
                </c:pt>
                <c:pt idx="428">
                  <c:v>-8.150323231668807</c:v>
                </c:pt>
                <c:pt idx="429">
                  <c:v>-8.6864030348878885</c:v>
                </c:pt>
                <c:pt idx="430">
                  <c:v>-9.2206117057836252</c:v>
                </c:pt>
                <c:pt idx="431">
                  <c:v>-9.7529570760854654</c:v>
                </c:pt>
                <c:pt idx="432">
                  <c:v>-10.283446939306202</c:v>
                </c:pt>
                <c:pt idx="433">
                  <c:v>-10.812089050954512</c:v>
                </c:pt>
                <c:pt idx="434">
                  <c:v>-11.338891128747463</c:v>
                </c:pt>
                <c:pt idx="435">
                  <c:v>-11.863860852819528</c:v>
                </c:pt>
                <c:pt idx="436">
                  <c:v>-12.387005865932764</c:v>
                </c:pt>
                <c:pt idx="437">
                  <c:v>-12.908333773683864</c:v>
                </c:pt>
                <c:pt idx="438">
                  <c:v>-13.427852144710783</c:v>
                </c:pt>
                <c:pt idx="439">
                  <c:v>-13.945568510897715</c:v>
                </c:pt>
                <c:pt idx="440">
                  <c:v>-14.461490367579245</c:v>
                </c:pt>
                <c:pt idx="441">
                  <c:v>-14.975625173742401</c:v>
                </c:pt>
                <c:pt idx="442">
                  <c:v>-15.487980352228504</c:v>
                </c:pt>
                <c:pt idx="443">
                  <c:v>-15.998563289932662</c:v>
                </c:pt>
                <c:pt idx="444">
                  <c:v>-16.507381338003171</c:v>
                </c:pt>
                <c:pt idx="445">
                  <c:v>-17.014441812038484</c:v>
                </c:pt>
                <c:pt idx="446">
                  <c:v>-17.519751992284029</c:v>
                </c:pt>
                <c:pt idx="447">
                  <c:v>-18.023319123826951</c:v>
                </c:pt>
                <c:pt idx="448">
                  <c:v>-18.525150416790495</c:v>
                </c:pt>
                <c:pt idx="449">
                  <c:v>-19.025253046526046</c:v>
                </c:pt>
                <c:pt idx="450">
                  <c:v>-19.523634153805347</c:v>
                </c:pt>
                <c:pt idx="451">
                  <c:v>-20.02030084501024</c:v>
                </c:pt>
                <c:pt idx="452">
                  <c:v>-20.515260192322302</c:v>
                </c:pt>
                <c:pt idx="453">
                  <c:v>-21.008519233910221</c:v>
                </c:pt>
                <c:pt idx="454">
                  <c:v>-21.500084974117613</c:v>
                </c:pt>
                <c:pt idx="455">
                  <c:v>-21.989964383647276</c:v>
                </c:pt>
                <c:pt idx="456">
                  <c:v>-22.478164399747129</c:v>
                </c:pt>
                <c:pt idx="457">
                  <c:v>-22.964691926392476</c:v>
                </c:pt>
                <c:pt idx="458">
                  <c:v>-23.44955383446927</c:v>
                </c:pt>
                <c:pt idx="459">
                  <c:v>-23.932756961954027</c:v>
                </c:pt>
                <c:pt idx="460">
                  <c:v>-24.414308114095263</c:v>
                </c:pt>
                <c:pt idx="461">
                  <c:v>-24.894214063590937</c:v>
                </c:pt>
                <c:pt idx="462">
                  <c:v>-25.372481550767532</c:v>
                </c:pt>
                <c:pt idx="463">
                  <c:v>-25.849117283755788</c:v>
                </c:pt>
                <c:pt idx="464">
                  <c:v>-26.324127938667147</c:v>
                </c:pt>
                <c:pt idx="465">
                  <c:v>-26.797520159767572</c:v>
                </c:pt>
                <c:pt idx="466">
                  <c:v>-27.269300559651612</c:v>
                </c:pt>
                <c:pt idx="467">
                  <c:v>-27.739475719414429</c:v>
                </c:pt>
                <c:pt idx="468">
                  <c:v>-28.208052188823444</c:v>
                </c:pt>
                <c:pt idx="469">
                  <c:v>-28.675036486488523</c:v>
                </c:pt>
                <c:pt idx="470">
                  <c:v>-29.140435100031198</c:v>
                </c:pt>
                <c:pt idx="471">
                  <c:v>-29.604254486252898</c:v>
                </c:pt>
                <c:pt idx="472">
                  <c:v>-30.066501071302412</c:v>
                </c:pt>
                <c:pt idx="473">
                  <c:v>-30.52718125084192</c:v>
                </c:pt>
                <c:pt idx="474">
                  <c:v>-30.986301390211963</c:v>
                </c:pt>
                <c:pt idx="475">
                  <c:v>-31.443867824595998</c:v>
                </c:pt>
                <c:pt idx="476">
                  <c:v>-31.899886859183368</c:v>
                </c:pt>
                <c:pt idx="477">
                  <c:v>-32.354364769331539</c:v>
                </c:pt>
                <c:pt idx="478">
                  <c:v>-32.807307800727301</c:v>
                </c:pt>
                <c:pt idx="479">
                  <c:v>-33.258722169546786</c:v>
                </c:pt>
                <c:pt idx="480">
                  <c:v>-33.708614062615112</c:v>
                </c:pt>
                <c:pt idx="481">
                  <c:v>-34.156989637564607</c:v>
                </c:pt>
                <c:pt idx="482">
                  <c:v>-34.603855022991468</c:v>
                </c:pt>
                <c:pt idx="483">
                  <c:v>-35.049216318612935</c:v>
                </c:pt>
                <c:pt idx="484">
                  <c:v>-35.493079595422472</c:v>
                </c:pt>
                <c:pt idx="485">
                  <c:v>-35.935450895844212</c:v>
                </c:pt>
                <c:pt idx="486">
                  <c:v>-36.376336233886292</c:v>
                </c:pt>
                <c:pt idx="487">
                  <c:v>-36.815741595293645</c:v>
                </c:pt>
                <c:pt idx="488">
                  <c:v>-37.253672937699861</c:v>
                </c:pt>
                <c:pt idx="489">
                  <c:v>-37.690136190777906</c:v>
                </c:pt>
                <c:pt idx="490">
                  <c:v>-38.125137256389763</c:v>
                </c:pt>
                <c:pt idx="491">
                  <c:v>-38.558682008735332</c:v>
                </c:pt>
                <c:pt idx="492">
                  <c:v>-38.99077629450116</c:v>
                </c:pt>
                <c:pt idx="493">
                  <c:v>-39.421425933007015</c:v>
                </c:pt>
                <c:pt idx="494">
                  <c:v>-39.850636716352227</c:v>
                </c:pt>
                <c:pt idx="495">
                  <c:v>-40.278414409561208</c:v>
                </c:pt>
                <c:pt idx="496">
                  <c:v>-40.704764750728259</c:v>
                </c:pt>
                <c:pt idx="497">
                  <c:v>-41.129693451160904</c:v>
                </c:pt>
                <c:pt idx="498">
                  <c:v>-41.553206195522762</c:v>
                </c:pt>
                <c:pt idx="499">
                  <c:v>-41.975308641975317</c:v>
                </c:pt>
                <c:pt idx="500">
                  <c:v>-42.396006422319687</c:v>
                </c:pt>
                <c:pt idx="501">
                  <c:v>-42.815305142136282</c:v>
                </c:pt>
                <c:pt idx="502">
                  <c:v>-43.233210380924362</c:v>
                </c:pt>
                <c:pt idx="503">
                  <c:v>-43.649727692240532</c:v>
                </c:pt>
                <c:pt idx="504">
                  <c:v>-44.064862603836929</c:v>
                </c:pt>
                <c:pt idx="505">
                  <c:v>-44.478620617797816</c:v>
                </c:pt>
                <c:pt idx="506">
                  <c:v>-44.891007210675667</c:v>
                </c:pt>
                <c:pt idx="507">
                  <c:v>-45.302027833626397</c:v>
                </c:pt>
                <c:pt idx="508">
                  <c:v>-45.71168791254442</c:v>
                </c:pt>
                <c:pt idx="509">
                  <c:v>-46.119992848195864</c:v>
                </c:pt>
                <c:pt idx="510">
                  <c:v>-46.526948016351497</c:v>
                </c:pt>
                <c:pt idx="511">
                  <c:v>-46.932558767918948</c:v>
                </c:pt>
                <c:pt idx="512">
                  <c:v>-47.33683042907407</c:v>
                </c:pt>
                <c:pt idx="513">
                  <c:v>-47.739768301391649</c:v>
                </c:pt>
                <c:pt idx="514">
                  <c:v>-48.141377661974758</c:v>
                </c:pt>
                <c:pt idx="515">
                  <c:v>-48.541663763583927</c:v>
                </c:pt>
                <c:pt idx="516">
                  <c:v>-48.94063183476581</c:v>
                </c:pt>
                <c:pt idx="517">
                  <c:v>-49.338287079980176</c:v>
                </c:pt>
                <c:pt idx="518">
                  <c:v>-49.734634679726554</c:v>
                </c:pt>
                <c:pt idx="519">
                  <c:v>-50.129679790670735</c:v>
                </c:pt>
                <c:pt idx="520">
                  <c:v>-50.523427545769607</c:v>
                </c:pt>
                <c:pt idx="521">
                  <c:v>-50.91588305439592</c:v>
                </c:pt>
                <c:pt idx="522">
                  <c:v>-51.307051402461695</c:v>
                </c:pt>
                <c:pt idx="523">
                  <c:v>-51.696937652541379</c:v>
                </c:pt>
                <c:pt idx="524">
                  <c:v>-52.085546843994479</c:v>
                </c:pt>
                <c:pt idx="525">
                  <c:v>-52.472883993086953</c:v>
                </c:pt>
                <c:pt idx="526">
                  <c:v>-52.858954093111691</c:v>
                </c:pt>
                <c:pt idx="527">
                  <c:v>-53.243762114509053</c:v>
                </c:pt>
                <c:pt idx="528">
                  <c:v>-53.627313004986576</c:v>
                </c:pt>
                <c:pt idx="529">
                  <c:v>-54.009611689637268</c:v>
                </c:pt>
                <c:pt idx="530">
                  <c:v>-54.390663071057702</c:v>
                </c:pt>
                <c:pt idx="531">
                  <c:v>-54.770472029465367</c:v>
                </c:pt>
                <c:pt idx="532">
                  <c:v>-55.149043422815851</c:v>
                </c:pt>
                <c:pt idx="533">
                  <c:v>-55.526382086918261</c:v>
                </c:pt>
                <c:pt idx="534">
                  <c:v>-55.902492835550504</c:v>
                </c:pt>
                <c:pt idx="535">
                  <c:v>-56.277380460574307</c:v>
                </c:pt>
                <c:pt idx="536">
                  <c:v>-56.651049732048989</c:v>
                </c:pt>
                <c:pt idx="537">
                  <c:v>-57.02350539834481</c:v>
                </c:pt>
                <c:pt idx="538">
                  <c:v>-57.394752186255374</c:v>
                </c:pt>
                <c:pt idx="539">
                  <c:v>-57.764794801109787</c:v>
                </c:pt>
                <c:pt idx="540">
                  <c:v>-58.133637926884234</c:v>
                </c:pt>
                <c:pt idx="541">
                  <c:v>-58.501286226312203</c:v>
                </c:pt>
                <c:pt idx="542">
                  <c:v>-58.867744340994761</c:v>
                </c:pt>
                <c:pt idx="543">
                  <c:v>-59.23301689150972</c:v>
                </c:pt>
                <c:pt idx="544">
                  <c:v>-59.597108477520777</c:v>
                </c:pt>
                <c:pt idx="545">
                  <c:v>-59.960023677885346</c:v>
                </c:pt>
                <c:pt idx="546">
                  <c:v>-60.321767050762219</c:v>
                </c:pt>
                <c:pt idx="547">
                  <c:v>-60.682343133718007</c:v>
                </c:pt>
                <c:pt idx="548">
                  <c:v>-61.041756443834004</c:v>
                </c:pt>
                <c:pt idx="549">
                  <c:v>-61.400011477811574</c:v>
                </c:pt>
                <c:pt idx="550">
                  <c:v>-61.757112712076832</c:v>
                </c:pt>
                <c:pt idx="551">
                  <c:v>-62.113064602885458</c:v>
                </c:pt>
                <c:pt idx="552">
                  <c:v>-62.467871586426497</c:v>
                </c:pt>
                <c:pt idx="553">
                  <c:v>-62.821538078925414</c:v>
                </c:pt>
                <c:pt idx="554">
                  <c:v>-63.174068476746584</c:v>
                </c:pt>
                <c:pt idx="555">
                  <c:v>-63.525467156495523</c:v>
                </c:pt>
                <c:pt idx="556">
                  <c:v>-63.875738475120301</c:v>
                </c:pt>
                <c:pt idx="557">
                  <c:v>-64.224886770012461</c:v>
                </c:pt>
                <c:pt idx="558">
                  <c:v>-64.572916359106785</c:v>
                </c:pt>
                <c:pt idx="559">
                  <c:v>-64.919831540981619</c:v>
                </c:pt>
                <c:pt idx="560">
                  <c:v>-65.265636594957584</c:v>
                </c:pt>
                <c:pt idx="561">
                  <c:v>-65.610335781196341</c:v>
                </c:pt>
                <c:pt idx="562">
                  <c:v>-65.953933340798187</c:v>
                </c:pt>
                <c:pt idx="563">
                  <c:v>-66.296433495900118</c:v>
                </c:pt>
                <c:pt idx="564">
                  <c:v>-66.637840449771744</c:v>
                </c:pt>
                <c:pt idx="565">
                  <c:v>-66.978158386912583</c:v>
                </c:pt>
                <c:pt idx="566">
                  <c:v>-67.317391473147183</c:v>
                </c:pt>
                <c:pt idx="567">
                  <c:v>-67.655543855720282</c:v>
                </c:pt>
                <c:pt idx="568">
                  <c:v>-67.992619663391679</c:v>
                </c:pt>
                <c:pt idx="569">
                  <c:v>-68.328623006530506</c:v>
                </c:pt>
                <c:pt idx="570">
                  <c:v>-68.663557977208313</c:v>
                </c:pt>
                <c:pt idx="571">
                  <c:v>-68.997428649292431</c:v>
                </c:pt>
                <c:pt idx="572">
                  <c:v>-69.330239078538312</c:v>
                </c:pt>
                <c:pt idx="573">
                  <c:v>-69.661993302681594</c:v>
                </c:pt>
                <c:pt idx="574">
                  <c:v>-69.992695341529753</c:v>
                </c:pt>
                <c:pt idx="575">
                  <c:v>-70.322349197052375</c:v>
                </c:pt>
                <c:pt idx="576">
                  <c:v>-70.650958853472133</c:v>
                </c:pt>
                <c:pt idx="577">
                  <c:v>-70.978528277354599</c:v>
                </c:pt>
                <c:pt idx="578">
                  <c:v>-71.305061417697516</c:v>
                </c:pt>
                <c:pt idx="579">
                  <c:v>-71.63056220601959</c:v>
                </c:pt>
                <c:pt idx="580">
                  <c:v>-71.955034556448823</c:v>
                </c:pt>
                <c:pt idx="581">
                  <c:v>-72.278482365810774</c:v>
                </c:pt>
                <c:pt idx="582">
                  <c:v>-72.600909513715465</c:v>
                </c:pt>
                <c:pt idx="583">
                  <c:v>-72.922319862644457</c:v>
                </c:pt>
                <c:pt idx="584">
                  <c:v>-73.242717258037047</c:v>
                </c:pt>
                <c:pt idx="585">
                  <c:v>-73.562105528376406</c:v>
                </c:pt>
                <c:pt idx="586">
                  <c:v>-73.880488485274938</c:v>
                </c:pt>
                <c:pt idx="587">
                  <c:v>-74.197869923558912</c:v>
                </c:pt>
                <c:pt idx="588">
                  <c:v>-74.514253621353006</c:v>
                </c:pt>
                <c:pt idx="589">
                  <c:v>-74.82964334016458</c:v>
                </c:pt>
                <c:pt idx="590">
                  <c:v>-75.144042824966931</c:v>
                </c:pt>
                <c:pt idx="591">
                  <c:v>-75.45745580428202</c:v>
                </c:pt>
                <c:pt idx="592">
                  <c:v>-75.769885990263347</c:v>
                </c:pt>
                <c:pt idx="593">
                  <c:v>-76.081337078778049</c:v>
                </c:pt>
                <c:pt idx="594">
                  <c:v>-76.391812749488452</c:v>
                </c:pt>
                <c:pt idx="595">
                  <c:v>-76.701316665933007</c:v>
                </c:pt>
                <c:pt idx="596">
                  <c:v>-77.00985247560719</c:v>
                </c:pt>
                <c:pt idx="597">
                  <c:v>-77.317423810043834</c:v>
                </c:pt>
                <c:pt idx="598">
                  <c:v>-77.624034284892772</c:v>
                </c:pt>
                <c:pt idx="599">
                  <c:v>-77.929687500000057</c:v>
                </c:pt>
                <c:pt idx="600">
                  <c:v>-78.234387039486961</c:v>
                </c:pt>
                <c:pt idx="601">
                  <c:v>-78.538136471828736</c:v>
                </c:pt>
                <c:pt idx="602">
                  <c:v>-78.840939349932228</c:v>
                </c:pt>
                <c:pt idx="603">
                  <c:v>-79.142799211213514</c:v>
                </c:pt>
                <c:pt idx="604">
                  <c:v>-79.443719577675026</c:v>
                </c:pt>
                <c:pt idx="605">
                  <c:v>-79.743703955982525</c:v>
                </c:pt>
                <c:pt idx="606">
                  <c:v>-80.042755837541236</c:v>
                </c:pt>
                <c:pt idx="607">
                  <c:v>-80.34087869857143</c:v>
                </c:pt>
                <c:pt idx="608">
                  <c:v>-80.6380760001841</c:v>
                </c:pt>
                <c:pt idx="609">
                  <c:v>-80.934351188456176</c:v>
                </c:pt>
                <c:pt idx="610">
                  <c:v>-81.229707694504782</c:v>
                </c:pt>
                <c:pt idx="611">
                  <c:v>-81.524148934561453</c:v>
                </c:pt>
                <c:pt idx="612">
                  <c:v>-81.817678310045849</c:v>
                </c:pt>
                <c:pt idx="613">
                  <c:v>-82.110299207639429</c:v>
                </c:pt>
                <c:pt idx="614">
                  <c:v>-82.402014999358215</c:v>
                </c:pt>
                <c:pt idx="615">
                  <c:v>-82.692829042625007</c:v>
                </c:pt>
                <c:pt idx="616">
                  <c:v>-82.982744680341867</c:v>
                </c:pt>
                <c:pt idx="617">
                  <c:v>-83.27176524096194</c:v>
                </c:pt>
                <c:pt idx="618">
                  <c:v>-83.559894038560586</c:v>
                </c:pt>
                <c:pt idx="619">
                  <c:v>-83.847134372906169</c:v>
                </c:pt>
                <c:pt idx="620">
                  <c:v>-84.133489529530806</c:v>
                </c:pt>
                <c:pt idx="621">
                  <c:v>-84.418962779800594</c:v>
                </c:pt>
                <c:pt idx="622">
                  <c:v>-84.703557380985359</c:v>
                </c:pt>
                <c:pt idx="623">
                  <c:v>-84.987276576327659</c:v>
                </c:pt>
                <c:pt idx="624">
                  <c:v>-85.27012359511221</c:v>
                </c:pt>
                <c:pt idx="625">
                  <c:v>-85.552101652734351</c:v>
                </c:pt>
                <c:pt idx="626">
                  <c:v>-85.833213950768339</c:v>
                </c:pt>
                <c:pt idx="627">
                  <c:v>-86.113463677034929</c:v>
                </c:pt>
                <c:pt idx="628">
                  <c:v>-86.39285400566915</c:v>
                </c:pt>
                <c:pt idx="629">
                  <c:v>-86.671388097187389</c:v>
                </c:pt>
                <c:pt idx="630">
                  <c:v>-86.949069098554034</c:v>
                </c:pt>
                <c:pt idx="631">
                  <c:v>-87.225900143247813</c:v>
                </c:pt>
                <c:pt idx="632">
                  <c:v>-87.501884351327789</c:v>
                </c:pt>
                <c:pt idx="633">
                  <c:v>-87.777024829499268</c:v>
                </c:pt>
                <c:pt idx="634">
                  <c:v>-88.051324671178804</c:v>
                </c:pt>
                <c:pt idx="635">
                  <c:v>-88.324786956559095</c:v>
                </c:pt>
                <c:pt idx="636">
                  <c:v>-88.597414752673672</c:v>
                </c:pt>
                <c:pt idx="637">
                  <c:v>-88.869211113461219</c:v>
                </c:pt>
                <c:pt idx="638">
                  <c:v>-89.140179079829196</c:v>
                </c:pt>
                <c:pt idx="639">
                  <c:v>-89.41032167971747</c:v>
                </c:pt>
                <c:pt idx="640">
                  <c:v>-89.679641928161345</c:v>
                </c:pt>
                <c:pt idx="641">
                  <c:v>-89.948142827354673</c:v>
                </c:pt>
                <c:pt idx="642">
                  <c:v>-90.215827366712148</c:v>
                </c:pt>
                <c:pt idx="643">
                  <c:v>-90.482698522931216</c:v>
                </c:pt>
                <c:pt idx="644">
                  <c:v>-90.748759260054186</c:v>
                </c:pt>
                <c:pt idx="645">
                  <c:v>-91.014012529529623</c:v>
                </c:pt>
                <c:pt idx="646">
                  <c:v>-91.278461270273397</c:v>
                </c:pt>
                <c:pt idx="647">
                  <c:v>-91.542108408729419</c:v>
                </c:pt>
                <c:pt idx="648">
                  <c:v>-91.804956858930112</c:v>
                </c:pt>
                <c:pt idx="649">
                  <c:v>-92.067009522556702</c:v>
                </c:pt>
                <c:pt idx="650">
                  <c:v>-92.328269288998911</c:v>
                </c:pt>
                <c:pt idx="651">
                  <c:v>-92.588739035414207</c:v>
                </c:pt>
                <c:pt idx="652">
                  <c:v>-92.848421626787257</c:v>
                </c:pt>
                <c:pt idx="653">
                  <c:v>-93.107319915988654</c:v>
                </c:pt>
                <c:pt idx="654">
                  <c:v>-93.36543674383347</c:v>
                </c:pt>
                <c:pt idx="655">
                  <c:v>-93.622774939139163</c:v>
                </c:pt>
                <c:pt idx="656">
                  <c:v>-93.879337318783826</c:v>
                </c:pt>
                <c:pt idx="657">
                  <c:v>-94.135126687763517</c:v>
                </c:pt>
                <c:pt idx="658">
                  <c:v>-94.390145839249726</c:v>
                </c:pt>
                <c:pt idx="659">
                  <c:v>-94.64439755464592</c:v>
                </c:pt>
                <c:pt idx="660">
                  <c:v>-94.897884603644457</c:v>
                </c:pt>
                <c:pt idx="661">
                  <c:v>-95.15060974428296</c:v>
                </c:pt>
                <c:pt idx="662">
                  <c:v>-95.402575723000183</c:v>
                </c:pt>
                <c:pt idx="663">
                  <c:v>-95.653785274691714</c:v>
                </c:pt>
                <c:pt idx="664">
                  <c:v>-95.904241122765399</c:v>
                </c:pt>
                <c:pt idx="665">
                  <c:v>-96.153945979196635</c:v>
                </c:pt>
                <c:pt idx="666">
                  <c:v>-96.402902544582986</c:v>
                </c:pt>
                <c:pt idx="667">
                  <c:v>-96.65111350819879</c:v>
                </c:pt>
                <c:pt idx="668">
                  <c:v>-96.898581548049151</c:v>
                </c:pt>
                <c:pt idx="669">
                  <c:v>-97.145309330924434</c:v>
                </c:pt>
                <c:pt idx="670">
                  <c:v>-97.391299512453315</c:v>
                </c:pt>
                <c:pt idx="671">
                  <c:v>-97.636554737156445</c:v>
                </c:pt>
                <c:pt idx="672">
                  <c:v>-97.881077638499434</c:v>
                </c:pt>
                <c:pt idx="673">
                  <c:v>-98.124870838945682</c:v>
                </c:pt>
                <c:pt idx="674">
                  <c:v>-98.367936950008882</c:v>
                </c:pt>
                <c:pt idx="675">
                  <c:v>-98.610278572305177</c:v>
                </c:pt>
                <c:pt idx="676">
                  <c:v>-98.851898295605068</c:v>
                </c:pt>
                <c:pt idx="677">
                  <c:v>-99.092798698885233</c:v>
                </c:pt>
                <c:pt idx="678">
                  <c:v>-99.332982350379893</c:v>
                </c:pt>
                <c:pt idx="679">
                  <c:v>-99.572451807631623</c:v>
                </c:pt>
                <c:pt idx="680">
                  <c:v>-99.811209617542531</c:v>
                </c:pt>
                <c:pt idx="681">
                  <c:v>-100.04925831642477</c:v>
                </c:pt>
                <c:pt idx="682">
                  <c:v>-100.28660043005073</c:v>
                </c:pt>
                <c:pt idx="683">
                  <c:v>-100.52323847370303</c:v>
                </c:pt>
                <c:pt idx="684">
                  <c:v>-100.75917495222431</c:v>
                </c:pt>
                <c:pt idx="685">
                  <c:v>-100.9944123600669</c:v>
                </c:pt>
                <c:pt idx="686">
                  <c:v>-101.22895318134189</c:v>
                </c:pt>
                <c:pt idx="687">
                  <c:v>-101.46279988986799</c:v>
                </c:pt>
                <c:pt idx="688">
                  <c:v>-101.69595494922049</c:v>
                </c:pt>
                <c:pt idx="689">
                  <c:v>-101.92842081277944</c:v>
                </c:pt>
                <c:pt idx="690">
                  <c:v>-102.16019992377815</c:v>
                </c:pt>
                <c:pt idx="691">
                  <c:v>-102.39129471535088</c:v>
                </c:pt>
                <c:pt idx="692">
                  <c:v>-102.62170761058054</c:v>
                </c:pt>
                <c:pt idx="693">
                  <c:v>-102.85144102254614</c:v>
                </c:pt>
                <c:pt idx="694">
                  <c:v>-103.08049735437008</c:v>
                </c:pt>
                <c:pt idx="695">
                  <c:v>-103.30887899926506</c:v>
                </c:pt>
                <c:pt idx="696">
                  <c:v>-103.53658834058047</c:v>
                </c:pt>
                <c:pt idx="697">
                  <c:v>-103.7636277518491</c:v>
                </c:pt>
                <c:pt idx="698">
                  <c:v>-103.98999959683333</c:v>
                </c:pt>
                <c:pt idx="699">
                  <c:v>-104.21570622957098</c:v>
                </c:pt>
                <c:pt idx="700">
                  <c:v>-104.44074999442098</c:v>
                </c:pt>
                <c:pt idx="701">
                  <c:v>-104.66513322610871</c:v>
                </c:pt>
                <c:pt idx="702">
                  <c:v>-104.88885824977159</c:v>
                </c:pt>
                <c:pt idx="703">
                  <c:v>-105.11192738100381</c:v>
                </c:pt>
                <c:pt idx="704">
                  <c:v>-105.33434292590096</c:v>
                </c:pt>
                <c:pt idx="705">
                  <c:v>-105.55610718110459</c:v>
                </c:pt>
                <c:pt idx="706">
                  <c:v>-105.77722243384684</c:v>
                </c:pt>
                <c:pt idx="707">
                  <c:v>-105.99769096199395</c:v>
                </c:pt>
                <c:pt idx="708">
                  <c:v>-106.21751503409034</c:v>
                </c:pt>
                <c:pt idx="709">
                  <c:v>-106.4366969094021</c:v>
                </c:pt>
                <c:pt idx="710">
                  <c:v>-106.65523883796048</c:v>
                </c:pt>
                <c:pt idx="711">
                  <c:v>-106.8731430606048</c:v>
                </c:pt>
                <c:pt idx="712">
                  <c:v>-107.09041180902554</c:v>
                </c:pt>
                <c:pt idx="713">
                  <c:v>-107.30704730580669</c:v>
                </c:pt>
                <c:pt idx="714">
                  <c:v>-107.52305176446859</c:v>
                </c:pt>
                <c:pt idx="715">
                  <c:v>-107.73842738950998</c:v>
                </c:pt>
                <c:pt idx="716">
                  <c:v>-107.9531763764499</c:v>
                </c:pt>
                <c:pt idx="717">
                  <c:v>-108.16730091186943</c:v>
                </c:pt>
                <c:pt idx="718">
                  <c:v>-108.38080317345357</c:v>
                </c:pt>
                <c:pt idx="719">
                  <c:v>-108.59368533003234</c:v>
                </c:pt>
                <c:pt idx="720">
                  <c:v>-108.8059495416219</c:v>
                </c:pt>
                <c:pt idx="721">
                  <c:v>-109.01759795946539</c:v>
                </c:pt>
                <c:pt idx="722">
                  <c:v>-109.22863272607394</c:v>
                </c:pt>
                <c:pt idx="723">
                  <c:v>-109.43905597526685</c:v>
                </c:pt>
                <c:pt idx="724">
                  <c:v>-109.64886983221207</c:v>
                </c:pt>
                <c:pt idx="725">
                  <c:v>-109.85807641346594</c:v>
                </c:pt>
                <c:pt idx="726">
                  <c:v>-110.06667782701351</c:v>
                </c:pt>
                <c:pt idx="727">
                  <c:v>-110.27467617230791</c:v>
                </c:pt>
                <c:pt idx="728">
                  <c:v>-110.48207354030977</c:v>
                </c:pt>
                <c:pt idx="729">
                  <c:v>-110.68887201352645</c:v>
                </c:pt>
                <c:pt idx="730">
                  <c:v>-110.89507366605127</c:v>
                </c:pt>
                <c:pt idx="731">
                  <c:v>-111.10068056360227</c:v>
                </c:pt>
                <c:pt idx="732">
                  <c:v>-111.30569476356062</c:v>
                </c:pt>
                <c:pt idx="733">
                  <c:v>-111.51011831500922</c:v>
                </c:pt>
                <c:pt idx="734">
                  <c:v>-111.71395325877108</c:v>
                </c:pt>
                <c:pt idx="735">
                  <c:v>-111.91720162744711</c:v>
                </c:pt>
                <c:pt idx="736">
                  <c:v>-112.11986544545401</c:v>
                </c:pt>
                <c:pt idx="737">
                  <c:v>-112.32194672906191</c:v>
                </c:pt>
                <c:pt idx="738">
                  <c:v>-112.52344748643195</c:v>
                </c:pt>
                <c:pt idx="739">
                  <c:v>-112.72436971765339</c:v>
                </c:pt>
                <c:pt idx="740">
                  <c:v>-112.92471541478066</c:v>
                </c:pt>
                <c:pt idx="741">
                  <c:v>-113.12448656187026</c:v>
                </c:pt>
                <c:pt idx="742">
                  <c:v>-113.3236851350175</c:v>
                </c:pt>
                <c:pt idx="743">
                  <c:v>-113.52231310239299</c:v>
                </c:pt>
                <c:pt idx="744">
                  <c:v>-113.72037242427878</c:v>
                </c:pt>
                <c:pt idx="745">
                  <c:v>-113.91786505310452</c:v>
                </c:pt>
                <c:pt idx="746">
                  <c:v>-114.11479293348364</c:v>
                </c:pt>
                <c:pt idx="747">
                  <c:v>-114.31115800224885</c:v>
                </c:pt>
                <c:pt idx="748">
                  <c:v>-114.50696218848758</c:v>
                </c:pt>
                <c:pt idx="749">
                  <c:v>-114.70220741357768</c:v>
                </c:pt>
                <c:pt idx="750">
                  <c:v>-114.89689559122242</c:v>
                </c:pt>
                <c:pt idx="751">
                  <c:v>-115.09102862748556</c:v>
                </c:pt>
                <c:pt idx="752">
                  <c:v>-115.28460842082616</c:v>
                </c:pt>
                <c:pt idx="753">
                  <c:v>-115.47763686213314</c:v>
                </c:pt>
                <c:pt idx="754">
                  <c:v>-115.67011583476001</c:v>
                </c:pt>
                <c:pt idx="755">
                  <c:v>-115.86204721455898</c:v>
                </c:pt>
                <c:pt idx="756">
                  <c:v>-116.05343286991506</c:v>
                </c:pt>
                <c:pt idx="757">
                  <c:v>-116.24427466178005</c:v>
                </c:pt>
                <c:pt idx="758">
                  <c:v>-116.43457444370648</c:v>
                </c:pt>
                <c:pt idx="759">
                  <c:v>-116.62433406188102</c:v>
                </c:pt>
                <c:pt idx="760">
                  <c:v>-116.81355535515794</c:v>
                </c:pt>
                <c:pt idx="761">
                  <c:v>-117.00224015509237</c:v>
                </c:pt>
                <c:pt idx="762">
                  <c:v>-117.19039028597352</c:v>
                </c:pt>
                <c:pt idx="763">
                  <c:v>-117.37800756485754</c:v>
                </c:pt>
                <c:pt idx="764">
                  <c:v>-117.56509380160009</c:v>
                </c:pt>
                <c:pt idx="765">
                  <c:v>-117.75165079888916</c:v>
                </c:pt>
                <c:pt idx="766">
                  <c:v>-117.93768035227755</c:v>
                </c:pt>
                <c:pt idx="767">
                  <c:v>-118.12318425021485</c:v>
                </c:pt>
                <c:pt idx="768">
                  <c:v>-118.30816427407972</c:v>
                </c:pt>
                <c:pt idx="769">
                  <c:v>-118.49262219821179</c:v>
                </c:pt>
                <c:pt idx="770">
                  <c:v>-118.67655978994344</c:v>
                </c:pt>
                <c:pt idx="771">
                  <c:v>-118.8599788096315</c:v>
                </c:pt>
                <c:pt idx="772">
                  <c:v>-119.0428810106884</c:v>
                </c:pt>
                <c:pt idx="773">
                  <c:v>-119.22526813961375</c:v>
                </c:pt>
                <c:pt idx="774">
                  <c:v>-119.4071419360254</c:v>
                </c:pt>
                <c:pt idx="775">
                  <c:v>-119.58850413269039</c:v>
                </c:pt>
                <c:pt idx="776">
                  <c:v>-119.76935645555577</c:v>
                </c:pt>
                <c:pt idx="777">
                  <c:v>-119.94970062377911</c:v>
                </c:pt>
                <c:pt idx="778">
                  <c:v>-120.12953834975931</c:v>
                </c:pt>
                <c:pt idx="779">
                  <c:v>-120.30887133916687</c:v>
                </c:pt>
                <c:pt idx="780">
                  <c:v>-120.48770129097377</c:v>
                </c:pt>
                <c:pt idx="781">
                  <c:v>-120.66602989748388</c:v>
                </c:pt>
                <c:pt idx="782">
                  <c:v>-120.84385884436273</c:v>
                </c:pt>
                <c:pt idx="783">
                  <c:v>-121.02118981066728</c:v>
                </c:pt>
                <c:pt idx="784">
                  <c:v>-121.19802446887545</c:v>
                </c:pt>
                <c:pt idx="785">
                  <c:v>-121.37436448491553</c:v>
                </c:pt>
                <c:pt idx="786">
                  <c:v>-121.55021151819567</c:v>
                </c:pt>
                <c:pt idx="787">
                  <c:v>-121.72556722163289</c:v>
                </c:pt>
                <c:pt idx="788">
                  <c:v>-121.90043324168199</c:v>
                </c:pt>
                <c:pt idx="789">
                  <c:v>-122.0748112183646</c:v>
                </c:pt>
                <c:pt idx="790">
                  <c:v>-122.24870278529779</c:v>
                </c:pt>
                <c:pt idx="791">
                  <c:v>-122.42210956972276</c:v>
                </c:pt>
                <c:pt idx="792">
                  <c:v>-122.59503319253291</c:v>
                </c:pt>
                <c:pt idx="793">
                  <c:v>-122.76747526830256</c:v>
                </c:pt>
                <c:pt idx="794">
                  <c:v>-122.93943740531488</c:v>
                </c:pt>
                <c:pt idx="795">
                  <c:v>-123.11092120558988</c:v>
                </c:pt>
                <c:pt idx="796">
                  <c:v>-123.28192826491232</c:v>
                </c:pt>
                <c:pt idx="797">
                  <c:v>-123.45246017285936</c:v>
                </c:pt>
                <c:pt idx="798">
                  <c:v>-123.62251851282825</c:v>
                </c:pt>
                <c:pt idx="799">
                  <c:v>-123.79210486206372</c:v>
                </c:pt>
                <c:pt idx="800">
                  <c:v>-123.96122079168522</c:v>
                </c:pt>
                <c:pt idx="801">
                  <c:v>-124.12986786671418</c:v>
                </c:pt>
                <c:pt idx="802">
                  <c:v>-124.29804764610105</c:v>
                </c:pt>
                <c:pt idx="803">
                  <c:v>-124.46576168275215</c:v>
                </c:pt>
                <c:pt idx="804">
                  <c:v>-124.63301152355645</c:v>
                </c:pt>
                <c:pt idx="805">
                  <c:v>-124.79979870941213</c:v>
                </c:pt>
                <c:pt idx="806">
                  <c:v>-124.96612477525329</c:v>
                </c:pt>
                <c:pt idx="807">
                  <c:v>-125.13199125007613</c:v>
                </c:pt>
                <c:pt idx="808">
                  <c:v>-125.29739965696517</c:v>
                </c:pt>
                <c:pt idx="809">
                  <c:v>-125.46235151311953</c:v>
                </c:pt>
                <c:pt idx="810">
                  <c:v>-125.62684832987877</c:v>
                </c:pt>
                <c:pt idx="811">
                  <c:v>-125.79089161274878</c:v>
                </c:pt>
                <c:pt idx="812">
                  <c:v>-125.95448286142742</c:v>
                </c:pt>
                <c:pt idx="813">
                  <c:v>-126.11762356983039</c:v>
                </c:pt>
                <c:pt idx="814">
                  <c:v>-126.2803152261162</c:v>
                </c:pt>
                <c:pt idx="815">
                  <c:v>-126.44255931271204</c:v>
                </c:pt>
                <c:pt idx="816">
                  <c:v>-126.60435730633868</c:v>
                </c:pt>
                <c:pt idx="817">
                  <c:v>-126.76571067803565</c:v>
                </c:pt>
                <c:pt idx="818">
                  <c:v>-126.9266208931861</c:v>
                </c:pt>
                <c:pt idx="819">
                  <c:v>-127.08708941154188</c:v>
                </c:pt>
                <c:pt idx="820">
                  <c:v>-127.24711768724808</c:v>
                </c:pt>
                <c:pt idx="821">
                  <c:v>-127.40670716886757</c:v>
                </c:pt>
                <c:pt idx="822">
                  <c:v>-127.56585929940562</c:v>
                </c:pt>
                <c:pt idx="823">
                  <c:v>-127.72457551633423</c:v>
                </c:pt>
                <c:pt idx="824">
                  <c:v>-127.88285725161639</c:v>
                </c:pt>
                <c:pt idx="825">
                  <c:v>-128.04070593173003</c:v>
                </c:pt>
                <c:pt idx="826">
                  <c:v>-128.19812297769212</c:v>
                </c:pt>
                <c:pt idx="827">
                  <c:v>-128.35510980508269</c:v>
                </c:pt>
                <c:pt idx="828">
                  <c:v>-128.51166782406847</c:v>
                </c:pt>
                <c:pt idx="829">
                  <c:v>-128.66779843942641</c:v>
                </c:pt>
                <c:pt idx="830">
                  <c:v>-128.8235030505673</c:v>
                </c:pt>
                <c:pt idx="831">
                  <c:v>-128.97878305155939</c:v>
                </c:pt>
                <c:pt idx="832">
                  <c:v>-129.13363983115144</c:v>
                </c:pt>
                <c:pt idx="833">
                  <c:v>-129.28807477279594</c:v>
                </c:pt>
                <c:pt idx="834">
                  <c:v>-129.44208925467214</c:v>
                </c:pt>
                <c:pt idx="835">
                  <c:v>-129.59568464970931</c:v>
                </c:pt>
                <c:pt idx="836">
                  <c:v>-129.7488623256092</c:v>
                </c:pt>
                <c:pt idx="837">
                  <c:v>-129.90162364486895</c:v>
                </c:pt>
                <c:pt idx="838">
                  <c:v>-130.05396996480371</c:v>
                </c:pt>
                <c:pt idx="839">
                  <c:v>-130.20590263756918</c:v>
                </c:pt>
                <c:pt idx="840">
                  <c:v>-130.35742301018394</c:v>
                </c:pt>
                <c:pt idx="841">
                  <c:v>-130.50853242455173</c:v>
                </c:pt>
                <c:pt idx="842">
                  <c:v>-130.65923221748375</c:v>
                </c:pt>
                <c:pt idx="843">
                  <c:v>-130.80952372072062</c:v>
                </c:pt>
                <c:pt idx="844">
                  <c:v>-130.95940826095452</c:v>
                </c:pt>
                <c:pt idx="845">
                  <c:v>-131.1088871598507</c:v>
                </c:pt>
                <c:pt idx="846">
                  <c:v>-131.25796173406957</c:v>
                </c:pt>
                <c:pt idx="847">
                  <c:v>-131.40663329528826</c:v>
                </c:pt>
                <c:pt idx="848">
                  <c:v>-131.5549031502222</c:v>
                </c:pt>
                <c:pt idx="849">
                  <c:v>-131.70277260064637</c:v>
                </c:pt>
                <c:pt idx="850">
                  <c:v>-131.85024294341679</c:v>
                </c:pt>
                <c:pt idx="851">
                  <c:v>-131.9973154704918</c:v>
                </c:pt>
                <c:pt idx="852">
                  <c:v>-132.14399146895306</c:v>
                </c:pt>
                <c:pt idx="853">
                  <c:v>-132.29027222102661</c:v>
                </c:pt>
                <c:pt idx="854">
                  <c:v>-132.43615900410384</c:v>
                </c:pt>
                <c:pt idx="855">
                  <c:v>-132.58165309076236</c:v>
                </c:pt>
                <c:pt idx="856">
                  <c:v>-132.72675574878653</c:v>
                </c:pt>
                <c:pt idx="857">
                  <c:v>-132.87146824118821</c:v>
                </c:pt>
                <c:pt idx="858">
                  <c:v>-133.01579182622734</c:v>
                </c:pt>
                <c:pt idx="859">
                  <c:v>-133.15972775743225</c:v>
                </c:pt>
                <c:pt idx="860">
                  <c:v>-133.30327728362005</c:v>
                </c:pt>
                <c:pt idx="861">
                  <c:v>-133.44644164891679</c:v>
                </c:pt>
                <c:pt idx="862">
                  <c:v>-133.58922209277762</c:v>
                </c:pt>
                <c:pt idx="863">
                  <c:v>-133.73161985000687</c:v>
                </c:pt>
                <c:pt idx="864">
                  <c:v>-133.873636150778</c:v>
                </c:pt>
                <c:pt idx="865">
                  <c:v>-134.01527222065323</c:v>
                </c:pt>
                <c:pt idx="866">
                  <c:v>-134.15652928060354</c:v>
                </c:pt>
                <c:pt idx="867">
                  <c:v>-134.29740854702817</c:v>
                </c:pt>
                <c:pt idx="868">
                  <c:v>-134.43791123177431</c:v>
                </c:pt>
                <c:pt idx="869">
                  <c:v>-134.57803854215629</c:v>
                </c:pt>
                <c:pt idx="870">
                  <c:v>-134.71779168097521</c:v>
                </c:pt>
                <c:pt idx="871">
                  <c:v>-134.85717184653817</c:v>
                </c:pt>
                <c:pt idx="872">
                  <c:v>-134.99618023267735</c:v>
                </c:pt>
                <c:pt idx="873">
                  <c:v>-135.13481802876913</c:v>
                </c:pt>
                <c:pt idx="874">
                  <c:v>-135.2730864197531</c:v>
                </c:pt>
                <c:pt idx="875">
                  <c:v>-135.41098658615095</c:v>
                </c:pt>
                <c:pt idx="876">
                  <c:v>-135.54851970408549</c:v>
                </c:pt>
                <c:pt idx="877">
                  <c:v>-135.6856869452989</c:v>
                </c:pt>
                <c:pt idx="878">
                  <c:v>-135.82248947717181</c:v>
                </c:pt>
                <c:pt idx="879">
                  <c:v>-135.95892846274171</c:v>
                </c:pt>
                <c:pt idx="880">
                  <c:v>-136.09500506072135</c:v>
                </c:pt>
                <c:pt idx="881">
                  <c:v>-136.23072042551709</c:v>
                </c:pt>
                <c:pt idx="882">
                  <c:v>-136.36607570724729</c:v>
                </c:pt>
                <c:pt idx="883">
                  <c:v>-136.50107205176047</c:v>
                </c:pt>
                <c:pt idx="884">
                  <c:v>-136.63571060065337</c:v>
                </c:pt>
                <c:pt idx="885">
                  <c:v>-136.76999249128895</c:v>
                </c:pt>
                <c:pt idx="886">
                  <c:v>-136.90391885681441</c:v>
                </c:pt>
                <c:pt idx="887">
                  <c:v>-137.03749082617907</c:v>
                </c:pt>
                <c:pt idx="888">
                  <c:v>-137.17070952415193</c:v>
                </c:pt>
                <c:pt idx="889">
                  <c:v>-137.30357607133959</c:v>
                </c:pt>
                <c:pt idx="890">
                  <c:v>-137.43609158420367</c:v>
                </c:pt>
                <c:pt idx="891">
                  <c:v>-137.56825717507846</c:v>
                </c:pt>
                <c:pt idx="892">
                  <c:v>-137.70007395218823</c:v>
                </c:pt>
                <c:pt idx="893">
                  <c:v>-137.83154301966465</c:v>
                </c:pt>
                <c:pt idx="894">
                  <c:v>-137.962665477564</c:v>
                </c:pt>
                <c:pt idx="895">
                  <c:v>-138.09344242188442</c:v>
                </c:pt>
                <c:pt idx="896">
                  <c:v>-138.223874944583</c:v>
                </c:pt>
                <c:pt idx="897">
                  <c:v>-138.35396413359271</c:v>
                </c:pt>
                <c:pt idx="898">
                  <c:v>-138.48371107283938</c:v>
                </c:pt>
                <c:pt idx="899">
                  <c:v>-138.61311684225873</c:v>
                </c:pt>
                <c:pt idx="900">
                  <c:v>-138.74218251781284</c:v>
                </c:pt>
                <c:pt idx="901">
                  <c:v>-138.87090917150709</c:v>
                </c:pt>
                <c:pt idx="902">
                  <c:v>-138.99929787140661</c:v>
                </c:pt>
                <c:pt idx="903">
                  <c:v>-139.1273496816531</c:v>
                </c:pt>
                <c:pt idx="904">
                  <c:v>-139.25506566248094</c:v>
                </c:pt>
                <c:pt idx="905">
                  <c:v>-139.38244687023379</c:v>
                </c:pt>
                <c:pt idx="906">
                  <c:v>-139.50949435738085</c:v>
                </c:pt>
                <c:pt idx="907">
                  <c:v>-139.63620917253309</c:v>
                </c:pt>
                <c:pt idx="908">
                  <c:v>-139.76259236045951</c:v>
                </c:pt>
                <c:pt idx="909">
                  <c:v>-139.88864496210292</c:v>
                </c:pt>
                <c:pt idx="910">
                  <c:v>-140.01436801459633</c:v>
                </c:pt>
                <c:pt idx="911">
                  <c:v>-140.13976255127858</c:v>
                </c:pt>
                <c:pt idx="912">
                  <c:v>-140.26482960171043</c:v>
                </c:pt>
                <c:pt idx="913">
                  <c:v>-140.38957019169007</c:v>
                </c:pt>
                <c:pt idx="914">
                  <c:v>-140.51398534326901</c:v>
                </c:pt>
                <c:pt idx="915">
                  <c:v>-140.63807607476778</c:v>
                </c:pt>
                <c:pt idx="916">
                  <c:v>-140.76184340079129</c:v>
                </c:pt>
                <c:pt idx="917">
                  <c:v>-140.88528833224444</c:v>
                </c:pt>
                <c:pt idx="918">
                  <c:v>-141.0084118763474</c:v>
                </c:pt>
                <c:pt idx="919">
                  <c:v>-141.13121503665124</c:v>
                </c:pt>
                <c:pt idx="920">
                  <c:v>-141.25369881305286</c:v>
                </c:pt>
                <c:pt idx="921">
                  <c:v>-141.3758642018104</c:v>
                </c:pt>
                <c:pt idx="922">
                  <c:v>-141.49771219555828</c:v>
                </c:pt>
                <c:pt idx="923">
                  <c:v>-141.6192437833223</c:v>
                </c:pt>
                <c:pt idx="924">
                  <c:v>-141.74045995053459</c:v>
                </c:pt>
                <c:pt idx="925">
                  <c:v>-141.86136167904854</c:v>
                </c:pt>
                <c:pt idx="926">
                  <c:v>-141.98194994715365</c:v>
                </c:pt>
                <c:pt idx="927">
                  <c:v>-142.10222572959029</c:v>
                </c:pt>
                <c:pt idx="928">
                  <c:v>-142.22218999756447</c:v>
                </c:pt>
                <c:pt idx="929">
                  <c:v>-142.34184371876239</c:v>
                </c:pt>
                <c:pt idx="930">
                  <c:v>-142.46118785736496</c:v>
                </c:pt>
                <c:pt idx="931">
                  <c:v>-142.5802233740626</c:v>
                </c:pt>
                <c:pt idx="932">
                  <c:v>-142.69895122606931</c:v>
                </c:pt>
                <c:pt idx="933">
                  <c:v>-142.81737236713724</c:v>
                </c:pt>
                <c:pt idx="934">
                  <c:v>-142.9354877475709</c:v>
                </c:pt>
                <c:pt idx="935">
                  <c:v>-143.05329831424152</c:v>
                </c:pt>
                <c:pt idx="936">
                  <c:v>-143.17080501060116</c:v>
                </c:pt>
                <c:pt idx="937">
                  <c:v>-143.28800877669664</c:v>
                </c:pt>
                <c:pt idx="938">
                  <c:v>-143.404910549184</c:v>
                </c:pt>
                <c:pt idx="939">
                  <c:v>-143.52151126134189</c:v>
                </c:pt>
                <c:pt idx="940">
                  <c:v>-143.63781184308601</c:v>
                </c:pt>
                <c:pt idx="941">
                  <c:v>-143.75381322098272</c:v>
                </c:pt>
                <c:pt idx="942">
                  <c:v>-143.86951631826278</c:v>
                </c:pt>
                <c:pt idx="943">
                  <c:v>-143.98492205483512</c:v>
                </c:pt>
                <c:pt idx="944">
                  <c:v>-144.10003134730053</c:v>
                </c:pt>
                <c:pt idx="945">
                  <c:v>-144.21484510896525</c:v>
                </c:pt>
                <c:pt idx="946">
                  <c:v>-144.32936424985439</c:v>
                </c:pt>
                <c:pt idx="947">
                  <c:v>-144.44358967672542</c:v>
                </c:pt>
                <c:pt idx="948">
                  <c:v>-144.55752229308183</c:v>
                </c:pt>
                <c:pt idx="949">
                  <c:v>-144.67116299918604</c:v>
                </c:pt>
                <c:pt idx="950">
                  <c:v>-144.78451269207304</c:v>
                </c:pt>
                <c:pt idx="951">
                  <c:v>-144.89757226556335</c:v>
                </c:pt>
                <c:pt idx="952">
                  <c:v>-145.01034261027638</c:v>
                </c:pt>
                <c:pt idx="953">
                  <c:v>-145.12282461364342</c:v>
                </c:pt>
                <c:pt idx="954">
                  <c:v>-145.23501915992068</c:v>
                </c:pt>
                <c:pt idx="955">
                  <c:v>-145.34692713020226</c:v>
                </c:pt>
                <c:pt idx="956">
                  <c:v>-145.45854940243311</c:v>
                </c:pt>
                <c:pt idx="957">
                  <c:v>-145.56988685142193</c:v>
                </c:pt>
                <c:pt idx="958">
                  <c:v>-145.6809403488538</c:v>
                </c:pt>
                <c:pt idx="959">
                  <c:v>-145.791710763303</c:v>
                </c:pt>
                <c:pt idx="960">
                  <c:v>-145.90219896024584</c:v>
                </c:pt>
                <c:pt idx="961">
                  <c:v>-146.01240580207312</c:v>
                </c:pt>
                <c:pt idx="962">
                  <c:v>-146.1223321481026</c:v>
                </c:pt>
                <c:pt idx="963">
                  <c:v>-146.23197885459177</c:v>
                </c:pt>
                <c:pt idx="964">
                  <c:v>-146.34134677475015</c:v>
                </c:pt>
                <c:pt idx="965">
                  <c:v>-146.45043675875169</c:v>
                </c:pt>
                <c:pt idx="966">
                  <c:v>-146.55924965374709</c:v>
                </c:pt>
                <c:pt idx="967">
                  <c:v>-146.66778630387608</c:v>
                </c:pt>
                <c:pt idx="968">
                  <c:v>-146.77604755027977</c:v>
                </c:pt>
                <c:pt idx="969">
                  <c:v>-146.88403423111265</c:v>
                </c:pt>
                <c:pt idx="970">
                  <c:v>-146.99174718155479</c:v>
                </c:pt>
                <c:pt idx="971">
                  <c:v>-147.09918723382384</c:v>
                </c:pt>
                <c:pt idx="972">
                  <c:v>-147.20635521718719</c:v>
                </c:pt>
                <c:pt idx="973">
                  <c:v>-147.31325195797365</c:v>
                </c:pt>
                <c:pt idx="974">
                  <c:v>-147.41987827958562</c:v>
                </c:pt>
                <c:pt idx="975">
                  <c:v>-147.52623500251067</c:v>
                </c:pt>
                <c:pt idx="976">
                  <c:v>-147.63232294433359</c:v>
                </c:pt>
                <c:pt idx="977">
                  <c:v>-147.73814291974793</c:v>
                </c:pt>
                <c:pt idx="978">
                  <c:v>-147.84369574056774</c:v>
                </c:pt>
                <c:pt idx="979">
                  <c:v>-147.94898221573916</c:v>
                </c:pt>
                <c:pt idx="980">
                  <c:v>-148.05400315135211</c:v>
                </c:pt>
                <c:pt idx="981">
                  <c:v>-148.15875935065168</c:v>
                </c:pt>
                <c:pt idx="982">
                  <c:v>-148.26325161404966</c:v>
                </c:pt>
                <c:pt idx="983">
                  <c:v>-148.36748073913586</c:v>
                </c:pt>
                <c:pt idx="984">
                  <c:v>-148.47144752068971</c:v>
                </c:pt>
                <c:pt idx="985">
                  <c:v>-148.57515275069127</c:v>
                </c:pt>
                <c:pt idx="986">
                  <c:v>-148.67859721833275</c:v>
                </c:pt>
                <c:pt idx="987">
                  <c:v>-148.78178171002955</c:v>
                </c:pt>
                <c:pt idx="988">
                  <c:v>-148.88470700943148</c:v>
                </c:pt>
                <c:pt idx="989">
                  <c:v>-148.98737389743391</c:v>
                </c:pt>
                <c:pt idx="990">
                  <c:v>-149.08978315218874</c:v>
                </c:pt>
                <c:pt idx="991">
                  <c:v>-149.1919355491155</c:v>
                </c:pt>
                <c:pt idx="992">
                  <c:v>-149.29383186091223</c:v>
                </c:pt>
                <c:pt idx="993">
                  <c:v>-149.39547285756652</c:v>
                </c:pt>
                <c:pt idx="994">
                  <c:v>-149.49685930636616</c:v>
                </c:pt>
                <c:pt idx="995">
                  <c:v>-149.59799197191012</c:v>
                </c:pt>
                <c:pt idx="996">
                  <c:v>-149.69887161611931</c:v>
                </c:pt>
                <c:pt idx="997">
                  <c:v>-149.7994989982472</c:v>
                </c:pt>
                <c:pt idx="998">
                  <c:v>-149.89987487489054</c:v>
                </c:pt>
                <c:pt idx="999">
                  <c:v>-150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5D-0F48-B746-D1E2882B0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184864"/>
        <c:axId val="619186592"/>
      </c:lineChart>
      <c:catAx>
        <c:axId val="619184864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86592"/>
        <c:crosses val="autoZero"/>
        <c:auto val="1"/>
        <c:lblAlgn val="ctr"/>
        <c:lblOffset val="100"/>
        <c:noMultiLvlLbl val="0"/>
      </c:catAx>
      <c:valAx>
        <c:axId val="6191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8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800100</xdr:colOff>
      <xdr:row>26</xdr:row>
      <xdr:rowOff>152400</xdr:rowOff>
    </xdr:from>
    <xdr:to>
      <xdr:col>16</xdr:col>
      <xdr:colOff>800100</xdr:colOff>
      <xdr:row>46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57C732-67C8-7E4E-908C-E17C396E0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8777-2558-E147-8BAF-B9839030514E}">
  <dimension ref="A2:P1018"/>
  <sheetViews>
    <sheetView workbookViewId="0">
      <selection activeCell="H15" sqref="H15"/>
    </sheetView>
  </sheetViews>
  <sheetFormatPr baseColWidth="10" defaultRowHeight="16" x14ac:dyDescent="0.2"/>
  <sheetData>
    <row r="2" spans="1:16" x14ac:dyDescent="0.2">
      <c r="A2" t="s">
        <v>14</v>
      </c>
      <c r="B2">
        <v>0.1</v>
      </c>
      <c r="J2" t="s">
        <v>13</v>
      </c>
    </row>
    <row r="4" spans="1:16" x14ac:dyDescent="0.2">
      <c r="B4" t="s">
        <v>6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J4" t="str">
        <f t="shared" ref="J4:J9" si="0">B4</f>
        <v>year</v>
      </c>
      <c r="K4" t="str">
        <f t="shared" ref="K4:O4" si="1">C4</f>
        <v>A</v>
      </c>
      <c r="L4" t="str">
        <f t="shared" si="1"/>
        <v>B</v>
      </c>
      <c r="M4" t="str">
        <f t="shared" si="1"/>
        <v>C</v>
      </c>
      <c r="N4" t="str">
        <f t="shared" si="1"/>
        <v>D</v>
      </c>
      <c r="O4" t="str">
        <f t="shared" si="1"/>
        <v>E</v>
      </c>
      <c r="P4" t="str">
        <f>H4</f>
        <v>F</v>
      </c>
    </row>
    <row r="5" spans="1:16" x14ac:dyDescent="0.2">
      <c r="B5">
        <v>0</v>
      </c>
      <c r="C5">
        <v>-200</v>
      </c>
      <c r="D5">
        <v>-200</v>
      </c>
      <c r="E5">
        <v>-200</v>
      </c>
      <c r="F5">
        <v>-200</v>
      </c>
      <c r="G5">
        <v>-200</v>
      </c>
      <c r="H5">
        <v>-400</v>
      </c>
      <c r="J5">
        <f t="shared" si="0"/>
        <v>0</v>
      </c>
      <c r="K5">
        <f t="shared" ref="K5:P9" si="2">C5/(1+rate)^$J5</f>
        <v>-200</v>
      </c>
      <c r="L5">
        <f t="shared" si="2"/>
        <v>-200</v>
      </c>
      <c r="M5">
        <f t="shared" si="2"/>
        <v>-200</v>
      </c>
      <c r="N5">
        <f t="shared" si="2"/>
        <v>-200</v>
      </c>
      <c r="O5">
        <f t="shared" si="2"/>
        <v>-200</v>
      </c>
      <c r="P5">
        <f t="shared" si="2"/>
        <v>-400</v>
      </c>
    </row>
    <row r="6" spans="1:16" x14ac:dyDescent="0.2">
      <c r="B6">
        <v>1</v>
      </c>
      <c r="C6">
        <v>209</v>
      </c>
      <c r="D6">
        <v>0</v>
      </c>
      <c r="E6">
        <v>70</v>
      </c>
      <c r="F6">
        <v>0</v>
      </c>
      <c r="G6">
        <v>0</v>
      </c>
      <c r="H6">
        <v>0</v>
      </c>
      <c r="J6">
        <f t="shared" si="0"/>
        <v>1</v>
      </c>
      <c r="K6">
        <f>C6/(1+rate)^$J6</f>
        <v>189.99999999999997</v>
      </c>
      <c r="L6">
        <f t="shared" si="2"/>
        <v>0</v>
      </c>
      <c r="M6">
        <f t="shared" si="2"/>
        <v>63.636363636363633</v>
      </c>
      <c r="N6">
        <f t="shared" si="2"/>
        <v>0</v>
      </c>
      <c r="O6">
        <f t="shared" si="2"/>
        <v>0</v>
      </c>
      <c r="P6">
        <f t="shared" si="2"/>
        <v>0</v>
      </c>
    </row>
    <row r="7" spans="1:16" x14ac:dyDescent="0.2">
      <c r="B7">
        <v>2</v>
      </c>
      <c r="C7">
        <v>0</v>
      </c>
      <c r="D7">
        <v>140</v>
      </c>
      <c r="E7">
        <v>70</v>
      </c>
      <c r="F7">
        <v>0</v>
      </c>
      <c r="G7">
        <v>0</v>
      </c>
      <c r="H7">
        <v>0</v>
      </c>
      <c r="J7">
        <f t="shared" si="0"/>
        <v>2</v>
      </c>
      <c r="K7">
        <f t="shared" si="2"/>
        <v>0</v>
      </c>
      <c r="L7">
        <f t="shared" si="2"/>
        <v>115.70247933884296</v>
      </c>
      <c r="M7">
        <f t="shared" si="2"/>
        <v>57.851239669421481</v>
      </c>
      <c r="N7">
        <f t="shared" si="2"/>
        <v>0</v>
      </c>
      <c r="O7">
        <f t="shared" si="2"/>
        <v>0</v>
      </c>
      <c r="P7">
        <f t="shared" si="2"/>
        <v>0</v>
      </c>
    </row>
    <row r="8" spans="1:16" x14ac:dyDescent="0.2">
      <c r="B8">
        <v>3</v>
      </c>
      <c r="C8">
        <v>0</v>
      </c>
      <c r="D8">
        <v>140</v>
      </c>
      <c r="E8">
        <v>70</v>
      </c>
      <c r="F8">
        <v>0</v>
      </c>
      <c r="G8">
        <v>0</v>
      </c>
      <c r="H8">
        <v>0</v>
      </c>
      <c r="J8">
        <f t="shared" si="0"/>
        <v>3</v>
      </c>
      <c r="K8">
        <f t="shared" si="2"/>
        <v>0</v>
      </c>
      <c r="L8">
        <f t="shared" si="2"/>
        <v>105.18407212622085</v>
      </c>
      <c r="M8">
        <f t="shared" si="2"/>
        <v>52.592036063110427</v>
      </c>
      <c r="N8">
        <f t="shared" si="2"/>
        <v>0</v>
      </c>
      <c r="O8">
        <f t="shared" si="2"/>
        <v>0</v>
      </c>
      <c r="P8">
        <f t="shared" si="2"/>
        <v>0</v>
      </c>
    </row>
    <row r="9" spans="1:16" x14ac:dyDescent="0.2">
      <c r="B9">
        <v>4</v>
      </c>
      <c r="C9">
        <v>0</v>
      </c>
      <c r="D9">
        <v>140</v>
      </c>
      <c r="E9">
        <v>140</v>
      </c>
      <c r="F9">
        <v>200</v>
      </c>
      <c r="G9">
        <v>400</v>
      </c>
      <c r="H9">
        <v>800</v>
      </c>
      <c r="J9">
        <f t="shared" si="0"/>
        <v>4</v>
      </c>
      <c r="K9">
        <f t="shared" si="2"/>
        <v>0</v>
      </c>
      <c r="L9">
        <f t="shared" si="2"/>
        <v>95.621883751109877</v>
      </c>
      <c r="M9">
        <f t="shared" si="2"/>
        <v>95.621883751109877</v>
      </c>
      <c r="N9">
        <f t="shared" si="2"/>
        <v>136.60269107301411</v>
      </c>
      <c r="O9">
        <f t="shared" si="2"/>
        <v>273.20538214602823</v>
      </c>
      <c r="P9">
        <f t="shared" si="2"/>
        <v>546.41076429205646</v>
      </c>
    </row>
    <row r="11" spans="1:16" x14ac:dyDescent="0.2">
      <c r="B11" t="s">
        <v>7</v>
      </c>
      <c r="C11" s="1">
        <f t="shared" ref="C11:H11" si="3">NPV(rate,C6:C9)+C5</f>
        <v>-10.000000000000028</v>
      </c>
      <c r="D11" s="1">
        <f t="shared" si="3"/>
        <v>116.50843521617367</v>
      </c>
      <c r="E11" s="1">
        <f t="shared" si="3"/>
        <v>69.70152312000539</v>
      </c>
      <c r="F11" s="1">
        <f t="shared" si="3"/>
        <v>-63.397308926985914</v>
      </c>
      <c r="G11" s="1">
        <f t="shared" si="3"/>
        <v>73.205382146028171</v>
      </c>
      <c r="H11" s="2">
        <f t="shared" si="3"/>
        <v>146.41076429205634</v>
      </c>
    </row>
    <row r="12" spans="1:16" x14ac:dyDescent="0.2">
      <c r="B12" t="s">
        <v>8</v>
      </c>
      <c r="C12" s="6">
        <f>IRR(C5:C9)</f>
        <v>4.4999999999999929E-2</v>
      </c>
      <c r="D12" s="7">
        <f>IRR(D5:D9)</f>
        <v>0.28977646301174587</v>
      </c>
      <c r="E12" s="6">
        <f t="shared" ref="E12:G12" si="4">IRR(E5:E9)</f>
        <v>0.23479774801460707</v>
      </c>
      <c r="F12" s="6">
        <f t="shared" si="4"/>
        <v>0</v>
      </c>
      <c r="G12" s="6">
        <f t="shared" si="4"/>
        <v>0.18920711500225251</v>
      </c>
      <c r="H12" s="6">
        <f>IRR(H5:H9)</f>
        <v>0.18920711500225251</v>
      </c>
    </row>
    <row r="13" spans="1:16" x14ac:dyDescent="0.2">
      <c r="B13" t="s">
        <v>9</v>
      </c>
      <c r="C13" s="3">
        <v>1</v>
      </c>
      <c r="D13">
        <v>3</v>
      </c>
      <c r="E13">
        <v>3</v>
      </c>
      <c r="F13">
        <v>4</v>
      </c>
      <c r="G13">
        <v>4</v>
      </c>
      <c r="H13">
        <v>4</v>
      </c>
    </row>
    <row r="14" spans="1:16" x14ac:dyDescent="0.2">
      <c r="B14" t="s">
        <v>10</v>
      </c>
      <c r="C14" t="s">
        <v>11</v>
      </c>
      <c r="D14" s="3">
        <v>3</v>
      </c>
      <c r="E14" s="3">
        <v>3</v>
      </c>
      <c r="F14" t="s">
        <v>11</v>
      </c>
      <c r="G14">
        <v>4</v>
      </c>
      <c r="H14">
        <v>4</v>
      </c>
    </row>
    <row r="15" spans="1:16" x14ac:dyDescent="0.2">
      <c r="B15" t="s">
        <v>12</v>
      </c>
      <c r="C15" s="4">
        <f>SUM(C$5:C$9)/C$5*-1</f>
        <v>4.4999999999999998E-2</v>
      </c>
      <c r="D15" s="5">
        <f>SUM(D$5:D$9)/D$5*-1</f>
        <v>1.1000000000000001</v>
      </c>
      <c r="E15" s="4">
        <f t="shared" ref="E15:H15" si="5">SUM(E$5:E$9)/E$5*-1</f>
        <v>0.75</v>
      </c>
      <c r="F15" s="4">
        <f t="shared" si="5"/>
        <v>0</v>
      </c>
      <c r="G15" s="4">
        <f t="shared" si="5"/>
        <v>1</v>
      </c>
      <c r="H15" s="4">
        <f t="shared" si="5"/>
        <v>1</v>
      </c>
      <c r="J15" t="s">
        <v>15</v>
      </c>
      <c r="K15">
        <v>4.4999999999999998E-2</v>
      </c>
      <c r="L15" s="8">
        <v>0.2898</v>
      </c>
      <c r="M15" s="8">
        <v>0.23480000000000001</v>
      </c>
      <c r="N15" s="8">
        <v>0</v>
      </c>
      <c r="O15" s="8">
        <v>0.18920000000000001</v>
      </c>
      <c r="P15" s="8">
        <v>0.18920000000000001</v>
      </c>
    </row>
    <row r="16" spans="1:16" x14ac:dyDescent="0.2">
      <c r="J16" t="s">
        <v>8</v>
      </c>
    </row>
    <row r="18" spans="1:16" x14ac:dyDescent="0.2">
      <c r="A18" s="8"/>
      <c r="B18" s="8" t="s">
        <v>17</v>
      </c>
      <c r="C18" t="str">
        <f>C4</f>
        <v>A</v>
      </c>
      <c r="D18" t="str">
        <f t="shared" ref="D18:H18" si="6">D4</f>
        <v>B</v>
      </c>
      <c r="E18" t="str">
        <f t="shared" si="6"/>
        <v>C</v>
      </c>
      <c r="F18" t="str">
        <f t="shared" si="6"/>
        <v>D</v>
      </c>
      <c r="G18" t="str">
        <f t="shared" si="6"/>
        <v>E</v>
      </c>
      <c r="H18" t="str">
        <f t="shared" si="6"/>
        <v>F</v>
      </c>
      <c r="J18" s="8" t="s">
        <v>6</v>
      </c>
      <c r="K18" s="8" t="s">
        <v>0</v>
      </c>
      <c r="L18" s="8" t="s">
        <v>1</v>
      </c>
      <c r="M18" s="8" t="s">
        <v>2</v>
      </c>
      <c r="N18" s="8" t="s">
        <v>3</v>
      </c>
      <c r="O18" s="8" t="s">
        <v>4</v>
      </c>
      <c r="P18" s="8" t="s">
        <v>5</v>
      </c>
    </row>
    <row r="19" spans="1:16" x14ac:dyDescent="0.2">
      <c r="A19" s="10"/>
      <c r="B19" s="10">
        <v>1E-3</v>
      </c>
      <c r="C19">
        <f>$C$5+$C$6/(1+$B19)</f>
        <v>8.7912087912088168</v>
      </c>
      <c r="D19" s="8">
        <f>$D$5+(D$6/(1+$B19))+(D$7/(1+$B19)^2)+(D$8/(1+$B19)^3)+(D$9/(1+$B19)^4)</f>
        <v>218.74265524768859</v>
      </c>
      <c r="E19" s="8">
        <f t="shared" ref="E19:H34" si="7">$D$5+(E$6/(1+$B19))+(E$7/(1+$B19)^2)+(E$8/(1+$B19)^3)+(E$9/(1+$B19)^4)</f>
        <v>149.02209615636033</v>
      </c>
      <c r="F19" s="8">
        <f t="shared" si="7"/>
        <v>-0.79800399301109337</v>
      </c>
      <c r="G19" s="8">
        <f t="shared" si="7"/>
        <v>198.40399201397781</v>
      </c>
      <c r="H19" s="8">
        <f t="shared" si="7"/>
        <v>596.80798402795563</v>
      </c>
      <c r="J19" s="8">
        <v>0</v>
      </c>
      <c r="K19" s="8">
        <f>C5/(1+K$15)^$J19</f>
        <v>-200</v>
      </c>
      <c r="L19" s="8">
        <f t="shared" ref="L19:P23" si="8">D5/(1+L$15)^$J19</f>
        <v>-200</v>
      </c>
      <c r="M19" s="8">
        <f t="shared" si="8"/>
        <v>-200</v>
      </c>
      <c r="N19" s="8">
        <f t="shared" si="8"/>
        <v>-200</v>
      </c>
      <c r="O19" s="8">
        <f t="shared" si="8"/>
        <v>-200</v>
      </c>
      <c r="P19" s="8">
        <f t="shared" si="8"/>
        <v>-400</v>
      </c>
    </row>
    <row r="20" spans="1:16" x14ac:dyDescent="0.2">
      <c r="A20" s="11"/>
      <c r="B20" s="11">
        <v>2E-3</v>
      </c>
      <c r="C20">
        <f t="shared" ref="C20:C83" si="9">$C$5+$C$6/(1+$B20)</f>
        <v>8.5828343313373239</v>
      </c>
      <c r="D20" s="8">
        <f t="shared" ref="D20:H82" si="10">$D$5+(D$6/(1+$B20))+(D$7/(1+$B20)^2)+(D$8/(1+$B20)^3)+(D$9/(1+$B20)^4)</f>
        <v>217.49060204282927</v>
      </c>
      <c r="E20" s="8">
        <f t="shared" si="7"/>
        <v>148.04836930160735</v>
      </c>
      <c r="F20" s="8">
        <f t="shared" si="7"/>
        <v>-1.5920318883572975</v>
      </c>
      <c r="G20" s="8">
        <f t="shared" si="7"/>
        <v>196.81593622328541</v>
      </c>
      <c r="H20" s="8">
        <f t="shared" si="7"/>
        <v>593.63187244657081</v>
      </c>
      <c r="J20" s="8">
        <v>1</v>
      </c>
      <c r="K20" s="8">
        <f t="shared" ref="K20:K23" si="11">C6/(1+K$15)^$J20</f>
        <v>200</v>
      </c>
      <c r="L20" s="8">
        <f t="shared" si="8"/>
        <v>0</v>
      </c>
      <c r="M20" s="8">
        <f t="shared" si="8"/>
        <v>56.689342403628125</v>
      </c>
      <c r="N20" s="8">
        <f t="shared" si="8"/>
        <v>0</v>
      </c>
      <c r="O20" s="8">
        <f t="shared" si="8"/>
        <v>0</v>
      </c>
      <c r="P20" s="8">
        <f t="shared" si="8"/>
        <v>0</v>
      </c>
    </row>
    <row r="21" spans="1:16" x14ac:dyDescent="0.2">
      <c r="A21" s="11"/>
      <c r="B21" s="11">
        <v>3.0000000000000001E-3</v>
      </c>
      <c r="C21">
        <f t="shared" si="9"/>
        <v>8.3748753738783819</v>
      </c>
      <c r="D21" s="8">
        <f t="shared" si="10"/>
        <v>216.24381210088856</v>
      </c>
      <c r="E21" s="8">
        <f t="shared" si="7"/>
        <v>147.07879656359907</v>
      </c>
      <c r="F21" s="8">
        <f t="shared" si="7"/>
        <v>-2.3821074357093153</v>
      </c>
      <c r="G21" s="8">
        <f t="shared" si="7"/>
        <v>195.23578512858137</v>
      </c>
      <c r="H21" s="8">
        <f t="shared" si="7"/>
        <v>590.47157025716274</v>
      </c>
      <c r="J21" s="8">
        <v>2</v>
      </c>
      <c r="K21" s="8">
        <f t="shared" si="11"/>
        <v>0</v>
      </c>
      <c r="L21" s="8">
        <f t="shared" si="8"/>
        <v>84.155652274711642</v>
      </c>
      <c r="M21" s="8">
        <f t="shared" si="8"/>
        <v>45.909736316511278</v>
      </c>
      <c r="N21" s="8">
        <f t="shared" si="8"/>
        <v>0</v>
      </c>
      <c r="O21" s="8">
        <f t="shared" si="8"/>
        <v>0</v>
      </c>
      <c r="P21" s="8">
        <f t="shared" si="8"/>
        <v>0</v>
      </c>
    </row>
    <row r="22" spans="1:16" x14ac:dyDescent="0.2">
      <c r="A22" s="11"/>
      <c r="B22" s="11">
        <v>4.0000000000000001E-3</v>
      </c>
      <c r="C22">
        <f t="shared" si="9"/>
        <v>8.1673306772908347</v>
      </c>
      <c r="D22" s="8">
        <f t="shared" si="10"/>
        <v>215.00225731936897</v>
      </c>
      <c r="E22" s="8">
        <f t="shared" si="7"/>
        <v>146.11335522074296</v>
      </c>
      <c r="F22" s="8">
        <f t="shared" si="7"/>
        <v>-3.1682542194003815</v>
      </c>
      <c r="G22" s="8">
        <f t="shared" si="7"/>
        <v>193.66349156119924</v>
      </c>
      <c r="H22" s="8">
        <f t="shared" si="7"/>
        <v>587.32698312239847</v>
      </c>
      <c r="J22" s="8">
        <v>3</v>
      </c>
      <c r="K22" s="8">
        <f t="shared" si="11"/>
        <v>0</v>
      </c>
      <c r="L22" s="8">
        <f t="shared" si="8"/>
        <v>65.247055570407525</v>
      </c>
      <c r="M22" s="8">
        <f t="shared" si="8"/>
        <v>37.179896595814121</v>
      </c>
      <c r="N22" s="8">
        <f t="shared" si="8"/>
        <v>0</v>
      </c>
      <c r="O22" s="8">
        <f t="shared" si="8"/>
        <v>0</v>
      </c>
      <c r="P22" s="8">
        <f t="shared" si="8"/>
        <v>0</v>
      </c>
    </row>
    <row r="23" spans="1:16" x14ac:dyDescent="0.2">
      <c r="A23" s="11"/>
      <c r="B23" s="11">
        <v>5.0000000000000001E-3</v>
      </c>
      <c r="C23">
        <f t="shared" si="9"/>
        <v>7.9601990049751521</v>
      </c>
      <c r="D23" s="8">
        <f t="shared" si="10"/>
        <v>213.76590977644622</v>
      </c>
      <c r="E23" s="8">
        <f t="shared" si="7"/>
        <v>145.15202270084671</v>
      </c>
      <c r="F23" s="8">
        <f t="shared" si="7"/>
        <v>-3.9504956597392322</v>
      </c>
      <c r="G23" s="8">
        <f t="shared" si="7"/>
        <v>192.09900868052154</v>
      </c>
      <c r="H23" s="8">
        <f t="shared" si="7"/>
        <v>584.19801736104307</v>
      </c>
      <c r="J23" s="8">
        <v>4</v>
      </c>
      <c r="K23" s="8">
        <f t="shared" si="11"/>
        <v>0</v>
      </c>
      <c r="L23" s="8">
        <f t="shared" si="8"/>
        <v>50.586955784158427</v>
      </c>
      <c r="M23" s="8">
        <f t="shared" si="8"/>
        <v>60.220111104331266</v>
      </c>
      <c r="N23" s="8">
        <f t="shared" si="8"/>
        <v>200</v>
      </c>
      <c r="O23" s="8">
        <f t="shared" si="8"/>
        <v>200.00478645581907</v>
      </c>
      <c r="P23" s="8">
        <f t="shared" si="8"/>
        <v>400.00957291163814</v>
      </c>
    </row>
    <row r="24" spans="1:16" x14ac:dyDescent="0.2">
      <c r="A24" s="11"/>
      <c r="B24" s="11">
        <v>6.0000000000000001E-3</v>
      </c>
      <c r="C24">
        <f t="shared" si="9"/>
        <v>7.7534791252485036</v>
      </c>
      <c r="D24" s="8">
        <f t="shared" si="10"/>
        <v>212.53474172961381</v>
      </c>
      <c r="E24" s="8">
        <f t="shared" si="7"/>
        <v>144.19477657997595</v>
      </c>
      <c r="F24" s="8">
        <f t="shared" si="7"/>
        <v>-4.7288550143140355</v>
      </c>
      <c r="G24" s="8">
        <f t="shared" si="7"/>
        <v>190.54228997137193</v>
      </c>
      <c r="H24" s="8">
        <f t="shared" si="7"/>
        <v>581.08457994274386</v>
      </c>
      <c r="J24" s="8"/>
      <c r="K24" s="8"/>
      <c r="L24" s="8"/>
      <c r="M24" s="8"/>
      <c r="N24" s="8"/>
      <c r="O24" s="8"/>
      <c r="P24" s="8"/>
    </row>
    <row r="25" spans="1:16" x14ac:dyDescent="0.2">
      <c r="A25" s="11"/>
      <c r="B25" s="11">
        <v>7.0000000000000001E-3</v>
      </c>
      <c r="C25">
        <f t="shared" si="9"/>
        <v>7.5471698113207708</v>
      </c>
      <c r="D25" s="8">
        <f t="shared" si="10"/>
        <v>211.30872561434413</v>
      </c>
      <c r="E25" s="8">
        <f t="shared" si="7"/>
        <v>143.24159458132527</v>
      </c>
      <c r="F25" s="8">
        <f t="shared" si="7"/>
        <v>-5.5033553792813734</v>
      </c>
      <c r="G25" s="8">
        <f t="shared" si="7"/>
        <v>188.99328924143725</v>
      </c>
      <c r="H25" s="8">
        <f t="shared" si="7"/>
        <v>577.98657848287451</v>
      </c>
      <c r="J25" s="3" t="s">
        <v>16</v>
      </c>
      <c r="K25" s="9">
        <f>SUM(K$19:K$23)</f>
        <v>0</v>
      </c>
      <c r="L25" s="9">
        <f t="shared" ref="L25:P25" si="12">SUM(L$19:L$23)</f>
        <v>-1.033637072240623E-2</v>
      </c>
      <c r="M25" s="9">
        <f t="shared" si="12"/>
        <v>-9.1357971520977799E-4</v>
      </c>
      <c r="N25" s="9">
        <f t="shared" si="12"/>
        <v>0</v>
      </c>
      <c r="O25" s="9">
        <f t="shared" si="12"/>
        <v>4.7864558190724438E-3</v>
      </c>
      <c r="P25" s="9">
        <f t="shared" si="12"/>
        <v>9.5729116381448875E-3</v>
      </c>
    </row>
    <row r="26" spans="1:16" x14ac:dyDescent="0.2">
      <c r="A26" s="11"/>
      <c r="B26" s="11">
        <v>8.0000000000000002E-3</v>
      </c>
      <c r="C26">
        <f t="shared" si="9"/>
        <v>7.3412698412698489</v>
      </c>
      <c r="D26" s="8">
        <f t="shared" si="10"/>
        <v>210.08783404275545</v>
      </c>
      <c r="E26" s="8">
        <f t="shared" si="7"/>
        <v>142.29245457409559</v>
      </c>
      <c r="F26" s="8">
        <f t="shared" si="7"/>
        <v>-6.2740196906474068</v>
      </c>
      <c r="G26" s="8">
        <f t="shared" si="7"/>
        <v>187.45196061870519</v>
      </c>
      <c r="H26" s="8">
        <f t="shared" si="7"/>
        <v>574.90392123741037</v>
      </c>
    </row>
    <row r="27" spans="1:16" x14ac:dyDescent="0.2">
      <c r="A27" s="11"/>
      <c r="B27" s="11">
        <v>8.9999999999999993E-3</v>
      </c>
      <c r="C27">
        <f t="shared" si="9"/>
        <v>7.1357779980178577</v>
      </c>
      <c r="D27" s="8">
        <f t="shared" si="10"/>
        <v>208.87203980229603</v>
      </c>
      <c r="E27" s="8">
        <f t="shared" si="7"/>
        <v>141.3473345723846</v>
      </c>
      <c r="F27" s="8">
        <f t="shared" si="7"/>
        <v>-7.0408707255339209</v>
      </c>
      <c r="G27" s="8">
        <f t="shared" si="7"/>
        <v>185.91825854893216</v>
      </c>
      <c r="H27" s="8">
        <f t="shared" si="7"/>
        <v>571.83651709786432</v>
      </c>
    </row>
    <row r="28" spans="1:16" x14ac:dyDescent="0.2">
      <c r="A28" s="11"/>
      <c r="B28" s="11">
        <v>0.01</v>
      </c>
      <c r="C28">
        <f t="shared" si="9"/>
        <v>6.9306930693069262</v>
      </c>
      <c r="D28" s="8">
        <f t="shared" si="10"/>
        <v>207.66131585443344</v>
      </c>
      <c r="E28" s="8">
        <f t="shared" si="7"/>
        <v>140.40621273408317</v>
      </c>
      <c r="F28" s="8">
        <f t="shared" si="7"/>
        <v>-7.8039311034367529</v>
      </c>
      <c r="G28" s="8">
        <f t="shared" si="7"/>
        <v>184.39213779312649</v>
      </c>
      <c r="H28" s="8">
        <f t="shared" si="7"/>
        <v>568.78427558625299</v>
      </c>
    </row>
    <row r="29" spans="1:16" x14ac:dyDescent="0.2">
      <c r="A29" s="11"/>
      <c r="B29" s="11">
        <v>1.0999999999999999E-2</v>
      </c>
      <c r="C29">
        <f t="shared" si="9"/>
        <v>6.7260138476756026</v>
      </c>
      <c r="D29" s="8">
        <f t="shared" si="10"/>
        <v>206.45563533336073</v>
      </c>
      <c r="E29" s="8">
        <f t="shared" si="7"/>
        <v>139.46906735978507</v>
      </c>
      <c r="F29" s="8">
        <f t="shared" si="7"/>
        <v>-8.5632232874696399</v>
      </c>
      <c r="G29" s="8">
        <f t="shared" si="7"/>
        <v>182.87355342506072</v>
      </c>
      <c r="H29" s="8">
        <f t="shared" si="7"/>
        <v>565.74710685012144</v>
      </c>
    </row>
    <row r="30" spans="1:16" x14ac:dyDescent="0.2">
      <c r="A30" s="11"/>
      <c r="B30" s="11">
        <v>1.2E-2</v>
      </c>
      <c r="C30">
        <f t="shared" si="9"/>
        <v>6.5217391304347814</v>
      </c>
      <c r="D30" s="8">
        <f t="shared" si="10"/>
        <v>205.25497154470898</v>
      </c>
      <c r="E30" s="8">
        <f t="shared" si="7"/>
        <v>138.53587689170286</v>
      </c>
      <c r="F30" s="8">
        <f t="shared" si="7"/>
        <v>-9.3187695855998527</v>
      </c>
      <c r="G30" s="8">
        <f t="shared" si="7"/>
        <v>181.36246082880029</v>
      </c>
      <c r="H30" s="8">
        <f t="shared" si="7"/>
        <v>562.72492165760059</v>
      </c>
    </row>
    <row r="31" spans="1:16" x14ac:dyDescent="0.2">
      <c r="A31" s="11"/>
      <c r="B31" s="11">
        <v>1.2999999999999999E-2</v>
      </c>
      <c r="C31">
        <f t="shared" si="9"/>
        <v>6.3178677196446529</v>
      </c>
      <c r="D31" s="8">
        <f t="shared" si="10"/>
        <v>204.0592979642739</v>
      </c>
      <c r="E31" s="8">
        <f t="shared" si="7"/>
        <v>137.60661991259525</v>
      </c>
      <c r="F31" s="8">
        <f t="shared" si="7"/>
        <v>-10.07059215187067</v>
      </c>
      <c r="G31" s="8">
        <f t="shared" si="7"/>
        <v>179.85881569625866</v>
      </c>
      <c r="H31" s="8">
        <f t="shared" si="7"/>
        <v>559.71763139251732</v>
      </c>
    </row>
    <row r="32" spans="1:16" x14ac:dyDescent="0.2">
      <c r="A32" s="11"/>
      <c r="B32" s="11">
        <v>1.4E-2</v>
      </c>
      <c r="C32">
        <f t="shared" si="9"/>
        <v>6.1143984220907157</v>
      </c>
      <c r="D32" s="8">
        <f t="shared" si="10"/>
        <v>202.86858823675126</v>
      </c>
      <c r="E32" s="8">
        <f t="shared" si="7"/>
        <v>136.68127514470257</v>
      </c>
      <c r="F32" s="8">
        <f t="shared" si="7"/>
        <v>-10.818712987614759</v>
      </c>
      <c r="G32" s="8">
        <f t="shared" si="7"/>
        <v>178.36257402477048</v>
      </c>
      <c r="H32" s="8">
        <f t="shared" si="7"/>
        <v>556.72514804954096</v>
      </c>
    </row>
    <row r="33" spans="1:8" x14ac:dyDescent="0.2">
      <c r="A33" s="11"/>
      <c r="B33" s="11">
        <v>1.4999999999999999E-2</v>
      </c>
      <c r="C33">
        <f t="shared" si="9"/>
        <v>5.9113300492610961</v>
      </c>
      <c r="D33" s="8">
        <f t="shared" si="10"/>
        <v>201.6828161744846</v>
      </c>
      <c r="E33" s="8">
        <f t="shared" si="7"/>
        <v>135.75982144869232</v>
      </c>
      <c r="F33" s="8">
        <f t="shared" si="7"/>
        <v>-11.563153942655106</v>
      </c>
      <c r="G33" s="8">
        <f t="shared" si="7"/>
        <v>176.87369211468979</v>
      </c>
      <c r="H33" s="8">
        <f t="shared" si="7"/>
        <v>553.74738422937958</v>
      </c>
    </row>
    <row r="34" spans="1:8" x14ac:dyDescent="0.2">
      <c r="A34" s="11"/>
      <c r="B34" s="11">
        <v>1.6E-2</v>
      </c>
      <c r="C34">
        <f t="shared" si="9"/>
        <v>5.708661417322844</v>
      </c>
      <c r="D34" s="8">
        <f t="shared" si="10"/>
        <v>200.50195575622098</v>
      </c>
      <c r="E34" s="8">
        <f t="shared" si="7"/>
        <v>134.84223782261188</v>
      </c>
      <c r="F34" s="8">
        <f t="shared" si="7"/>
        <v>-12.303936716497645</v>
      </c>
      <c r="G34" s="8">
        <f t="shared" si="7"/>
        <v>175.39212656700471</v>
      </c>
      <c r="H34" s="8">
        <f t="shared" si="7"/>
        <v>550.78425313400942</v>
      </c>
    </row>
    <row r="35" spans="1:8" x14ac:dyDescent="0.2">
      <c r="A35" s="11"/>
      <c r="B35" s="11">
        <v>1.7000000000000001E-2</v>
      </c>
      <c r="C35">
        <f t="shared" si="9"/>
        <v>5.5063913470993384</v>
      </c>
      <c r="D35" s="8">
        <f t="shared" si="10"/>
        <v>199.32598112588155</v>
      </c>
      <c r="E35" s="8">
        <f t="shared" si="10"/>
        <v>133.9285034008536</v>
      </c>
      <c r="F35" s="8">
        <f t="shared" si="10"/>
        <v>-13.041082859510198</v>
      </c>
      <c r="G35" s="8">
        <f t="shared" si="10"/>
        <v>173.9178342809796</v>
      </c>
      <c r="H35" s="8">
        <f t="shared" si="10"/>
        <v>547.83566856195921</v>
      </c>
    </row>
    <row r="36" spans="1:8" x14ac:dyDescent="0.2">
      <c r="A36" s="11"/>
      <c r="B36" s="11">
        <v>1.7999999999999999E-2</v>
      </c>
      <c r="C36">
        <f t="shared" si="9"/>
        <v>5.3045186640471513</v>
      </c>
      <c r="D36" s="8">
        <f t="shared" si="10"/>
        <v>198.15486659133703</v>
      </c>
      <c r="E36" s="8">
        <f t="shared" si="10"/>
        <v>133.01859745312447</v>
      </c>
      <c r="F36" s="8">
        <f t="shared" si="10"/>
        <v>-13.774613774094405</v>
      </c>
      <c r="G36" s="8">
        <f t="shared" si="10"/>
        <v>172.45077245181119</v>
      </c>
      <c r="H36" s="8">
        <f t="shared" si="10"/>
        <v>544.90154490362238</v>
      </c>
    </row>
    <row r="37" spans="1:8" x14ac:dyDescent="0.2">
      <c r="A37" s="11"/>
      <c r="B37" s="11">
        <v>1.9E-2</v>
      </c>
      <c r="C37">
        <f t="shared" si="9"/>
        <v>5.1030421982335952</v>
      </c>
      <c r="D37" s="8">
        <f t="shared" si="10"/>
        <v>196.9885866231989</v>
      </c>
      <c r="E37" s="8">
        <f t="shared" si="10"/>
        <v>132.11249938342883</v>
      </c>
      <c r="F37" s="8">
        <f t="shared" si="10"/>
        <v>-14.504550715844289</v>
      </c>
      <c r="G37" s="8">
        <f t="shared" si="10"/>
        <v>170.99089856831142</v>
      </c>
      <c r="H37" s="8">
        <f t="shared" si="10"/>
        <v>541.98179713662284</v>
      </c>
    </row>
    <row r="38" spans="1:8" x14ac:dyDescent="0.2">
      <c r="A38" s="11"/>
      <c r="B38" s="11">
        <v>0.02</v>
      </c>
      <c r="C38">
        <f t="shared" si="9"/>
        <v>4.9019607843137294</v>
      </c>
      <c r="D38" s="8">
        <f t="shared" si="10"/>
        <v>195.82711585361616</v>
      </c>
      <c r="E38" s="8">
        <f t="shared" si="10"/>
        <v>131.21018872905623</v>
      </c>
      <c r="F38" s="8">
        <f t="shared" si="10"/>
        <v>-15.230914794697156</v>
      </c>
      <c r="G38" s="8">
        <f t="shared" si="10"/>
        <v>169.53817041060569</v>
      </c>
      <c r="H38" s="8">
        <f t="shared" si="10"/>
        <v>539.07634082121137</v>
      </c>
    </row>
    <row r="39" spans="1:8" x14ac:dyDescent="0.2">
      <c r="A39" s="11"/>
      <c r="B39" s="11">
        <v>2.1000000000000001E-2</v>
      </c>
      <c r="C39">
        <f t="shared" si="9"/>
        <v>4.7012732615083337</v>
      </c>
      <c r="D39" s="8">
        <f t="shared" si="10"/>
        <v>194.67042907508588</v>
      </c>
      <c r="E39" s="8">
        <f t="shared" si="10"/>
        <v>130.31164515958073</v>
      </c>
      <c r="F39" s="8">
        <f t="shared" si="10"/>
        <v>-15.953726976072261</v>
      </c>
      <c r="G39" s="8">
        <f t="shared" si="10"/>
        <v>168.09254604785548</v>
      </c>
      <c r="H39" s="8">
        <f t="shared" si="10"/>
        <v>536.18509209571096</v>
      </c>
    </row>
    <row r="40" spans="1:8" x14ac:dyDescent="0.2">
      <c r="A40" s="11"/>
      <c r="B40" s="11">
        <v>2.1999999999999999E-2</v>
      </c>
      <c r="C40">
        <f t="shared" si="9"/>
        <v>4.5009784735811991</v>
      </c>
      <c r="D40" s="8">
        <f t="shared" si="10"/>
        <v>193.51850123927053</v>
      </c>
      <c r="E40" s="8">
        <f t="shared" si="10"/>
        <v>129.41684847586629</v>
      </c>
      <c r="F40" s="8">
        <f t="shared" si="10"/>
        <v>-16.67300808200136</v>
      </c>
      <c r="G40" s="8">
        <f t="shared" si="10"/>
        <v>166.65398383599728</v>
      </c>
      <c r="H40" s="8">
        <f t="shared" si="10"/>
        <v>533.30796767199456</v>
      </c>
    </row>
    <row r="41" spans="1:8" x14ac:dyDescent="0.2">
      <c r="A41" s="11"/>
      <c r="B41" s="11">
        <v>2.3E-2</v>
      </c>
      <c r="C41">
        <f t="shared" si="9"/>
        <v>4.3010752688172147</v>
      </c>
      <c r="D41" s="8">
        <f t="shared" si="10"/>
        <v>192.37130745582874</v>
      </c>
      <c r="E41" s="8">
        <f t="shared" si="10"/>
        <v>128.52577860908343</v>
      </c>
      <c r="F41" s="8">
        <f t="shared" si="10"/>
        <v>-17.388778792247109</v>
      </c>
      <c r="G41" s="8">
        <f t="shared" si="10"/>
        <v>165.22244241550578</v>
      </c>
      <c r="H41" s="8">
        <f t="shared" si="10"/>
        <v>530.44488483101156</v>
      </c>
    </row>
    <row r="42" spans="1:8" x14ac:dyDescent="0.2">
      <c r="A42" s="11"/>
      <c r="B42" s="11">
        <v>2.4E-2</v>
      </c>
      <c r="C42">
        <f t="shared" si="9"/>
        <v>4.1015625</v>
      </c>
      <c r="D42" s="8">
        <f t="shared" si="10"/>
        <v>191.22882299125195</v>
      </c>
      <c r="E42" s="8">
        <f t="shared" si="10"/>
        <v>127.63841561973095</v>
      </c>
      <c r="F42" s="8">
        <f t="shared" si="10"/>
        <v>-18.101059645414352</v>
      </c>
      <c r="G42" s="8">
        <f t="shared" si="10"/>
        <v>163.7978807091713</v>
      </c>
      <c r="H42" s="8">
        <f t="shared" si="10"/>
        <v>527.59576141834259</v>
      </c>
    </row>
    <row r="43" spans="1:8" x14ac:dyDescent="0.2">
      <c r="A43" s="11"/>
      <c r="B43" s="11">
        <v>2.5000000000000001E-2</v>
      </c>
      <c r="C43">
        <f t="shared" si="9"/>
        <v>3.9024390243902474</v>
      </c>
      <c r="D43" s="8">
        <f t="shared" si="10"/>
        <v>190.09102326771449</v>
      </c>
      <c r="E43" s="8">
        <f t="shared" si="10"/>
        <v>126.75473969666939</v>
      </c>
      <c r="F43" s="8">
        <f t="shared" si="10"/>
        <v>-18.809871040048989</v>
      </c>
      <c r="G43" s="8">
        <f t="shared" si="10"/>
        <v>162.38025791990202</v>
      </c>
      <c r="H43" s="8">
        <f t="shared" si="10"/>
        <v>524.76051583980404</v>
      </c>
    </row>
    <row r="44" spans="1:8" x14ac:dyDescent="0.2">
      <c r="A44" s="11"/>
      <c r="B44" s="11">
        <v>2.5999999999999999E-2</v>
      </c>
      <c r="C44">
        <f t="shared" si="9"/>
        <v>3.7037037037036953</v>
      </c>
      <c r="D44" s="8">
        <f t="shared" si="10"/>
        <v>188.95788386193033</v>
      </c>
      <c r="E44" s="8">
        <f t="shared" si="10"/>
        <v>125.87473115615968</v>
      </c>
      <c r="F44" s="8">
        <f t="shared" si="10"/>
        <v>-19.515233235729397</v>
      </c>
      <c r="G44" s="8">
        <f t="shared" si="10"/>
        <v>160.96953352854121</v>
      </c>
      <c r="H44" s="8">
        <f t="shared" si="10"/>
        <v>521.93906705708241</v>
      </c>
    </row>
    <row r="45" spans="1:8" x14ac:dyDescent="0.2">
      <c r="A45" s="11"/>
      <c r="B45" s="11">
        <v>2.7E-2</v>
      </c>
      <c r="C45">
        <f t="shared" si="9"/>
        <v>3.5053554040895847</v>
      </c>
      <c r="D45" s="8">
        <f t="shared" si="10"/>
        <v>187.82938050402151</v>
      </c>
      <c r="E45" s="8">
        <f t="shared" si="10"/>
        <v>124.99837044091244</v>
      </c>
      <c r="F45" s="8">
        <f t="shared" si="10"/>
        <v>-20.21716635414657</v>
      </c>
      <c r="G45" s="8">
        <f t="shared" si="10"/>
        <v>159.56566729170686</v>
      </c>
      <c r="H45" s="8">
        <f t="shared" si="10"/>
        <v>519.13133458341372</v>
      </c>
    </row>
    <row r="46" spans="1:8" x14ac:dyDescent="0.2">
      <c r="A46" s="11"/>
      <c r="B46" s="11">
        <v>2.8000000000000001E-2</v>
      </c>
      <c r="C46">
        <f t="shared" si="9"/>
        <v>3.3073929961089448</v>
      </c>
      <c r="D46" s="8">
        <f t="shared" si="10"/>
        <v>186.70548907639454</v>
      </c>
      <c r="E46" s="8">
        <f t="shared" si="10"/>
        <v>124.12563811914332</v>
      </c>
      <c r="F46" s="8">
        <f t="shared" si="10"/>
        <v>-20.915690380176414</v>
      </c>
      <c r="G46" s="8">
        <f t="shared" si="10"/>
        <v>158.16861923964717</v>
      </c>
      <c r="H46" s="8">
        <f t="shared" si="10"/>
        <v>516.33723847929434</v>
      </c>
    </row>
    <row r="47" spans="1:8" x14ac:dyDescent="0.2">
      <c r="A47" s="11"/>
      <c r="B47" s="11">
        <v>2.9000000000000001E-2</v>
      </c>
      <c r="C47">
        <f t="shared" si="9"/>
        <v>3.1098153547133336</v>
      </c>
      <c r="D47" s="8">
        <f t="shared" si="10"/>
        <v>185.58618561262739</v>
      </c>
      <c r="E47" s="8">
        <f t="shared" si="10"/>
        <v>123.25651488363809</v>
      </c>
      <c r="F47" s="8">
        <f t="shared" si="10"/>
        <v>-21.610825162940984</v>
      </c>
      <c r="G47" s="8">
        <f t="shared" si="10"/>
        <v>156.77834967411803</v>
      </c>
      <c r="H47" s="8">
        <f t="shared" si="10"/>
        <v>513.55669934823607</v>
      </c>
    </row>
    <row r="48" spans="1:8" x14ac:dyDescent="0.2">
      <c r="A48" s="11"/>
      <c r="B48" s="11">
        <v>0.03</v>
      </c>
      <c r="C48">
        <f t="shared" si="9"/>
        <v>2.9126213592232943</v>
      </c>
      <c r="D48" s="8">
        <f t="shared" si="10"/>
        <v>184.47144629636441</v>
      </c>
      <c r="E48" s="8">
        <f t="shared" si="10"/>
        <v>122.39098155082414</v>
      </c>
      <c r="F48" s="8">
        <f t="shared" si="10"/>
        <v>-22.302590416862216</v>
      </c>
      <c r="G48" s="8">
        <f t="shared" si="10"/>
        <v>155.39481916627557</v>
      </c>
      <c r="H48" s="8">
        <f t="shared" si="10"/>
        <v>510.78963833255114</v>
      </c>
    </row>
    <row r="49" spans="1:8" x14ac:dyDescent="0.2">
      <c r="A49" s="11"/>
      <c r="B49" s="11">
        <v>3.1E-2</v>
      </c>
      <c r="C49">
        <f t="shared" si="9"/>
        <v>2.7158098933074939</v>
      </c>
      <c r="D49" s="8">
        <f t="shared" si="10"/>
        <v>183.36124746022196</v>
      </c>
      <c r="E49" s="8">
        <f t="shared" si="10"/>
        <v>121.52901905985098</v>
      </c>
      <c r="F49" s="8">
        <f t="shared" si="10"/>
        <v>-22.991005722704898</v>
      </c>
      <c r="G49" s="8">
        <f t="shared" si="10"/>
        <v>154.0179885545902</v>
      </c>
      <c r="H49" s="8">
        <f t="shared" si="10"/>
        <v>508.03597710918041</v>
      </c>
    </row>
    <row r="50" spans="1:8" x14ac:dyDescent="0.2">
      <c r="A50" s="11"/>
      <c r="B50" s="11">
        <v>3.2000000000000001E-2</v>
      </c>
      <c r="C50">
        <f t="shared" si="9"/>
        <v>2.5193798449612359</v>
      </c>
      <c r="D50" s="8">
        <f t="shared" si="10"/>
        <v>182.25556558470157</v>
      </c>
      <c r="E50" s="8">
        <f t="shared" si="10"/>
        <v>120.67060847167771</v>
      </c>
      <c r="F50" s="8">
        <f t="shared" si="10"/>
        <v>-23.676090528611809</v>
      </c>
      <c r="G50" s="8">
        <f t="shared" si="10"/>
        <v>152.64781894277638</v>
      </c>
      <c r="H50" s="8">
        <f t="shared" si="10"/>
        <v>505.29563788555276</v>
      </c>
    </row>
    <row r="51" spans="1:8" x14ac:dyDescent="0.2">
      <c r="A51" s="11"/>
      <c r="B51" s="11">
        <v>3.3000000000000002E-2</v>
      </c>
      <c r="C51">
        <f t="shared" si="9"/>
        <v>2.3233301064859688</v>
      </c>
      <c r="D51" s="8">
        <f t="shared" si="10"/>
        <v>181.1543772971138</v>
      </c>
      <c r="E51" s="8">
        <f t="shared" si="10"/>
        <v>119.81573096816905</v>
      </c>
      <c r="F51" s="8">
        <f t="shared" si="10"/>
        <v>-24.357864151128837</v>
      </c>
      <c r="G51" s="8">
        <f t="shared" si="10"/>
        <v>151.28427169774233</v>
      </c>
      <c r="H51" s="8">
        <f t="shared" si="10"/>
        <v>502.56854339548465</v>
      </c>
    </row>
    <row r="52" spans="1:8" x14ac:dyDescent="0.2">
      <c r="A52" s="11"/>
      <c r="B52" s="11">
        <v>3.4000000000000002E-2</v>
      </c>
      <c r="C52">
        <f t="shared" si="9"/>
        <v>2.1276595744680833</v>
      </c>
      <c r="D52" s="8">
        <f t="shared" si="10"/>
        <v>180.05765937050904</v>
      </c>
      <c r="E52" s="8">
        <f t="shared" si="10"/>
        <v>118.96436785119766</v>
      </c>
      <c r="F52" s="8">
        <f t="shared" si="10"/>
        <v>-25.036345776222163</v>
      </c>
      <c r="G52" s="8">
        <f t="shared" si="10"/>
        <v>149.92730844755567</v>
      </c>
      <c r="H52" s="8">
        <f t="shared" si="10"/>
        <v>499.85461689511135</v>
      </c>
    </row>
    <row r="53" spans="1:8" x14ac:dyDescent="0.2">
      <c r="A53" s="11"/>
      <c r="B53" s="11">
        <v>3.5000000000000003E-2</v>
      </c>
      <c r="C53">
        <f t="shared" si="9"/>
        <v>1.9323671497584769</v>
      </c>
      <c r="D53" s="8">
        <f t="shared" si="10"/>
        <v>178.96538872261971</v>
      </c>
      <c r="E53" s="8">
        <f t="shared" si="10"/>
        <v>118.11650054175581</v>
      </c>
      <c r="F53" s="8">
        <f t="shared" si="10"/>
        <v>-25.711554460285527</v>
      </c>
      <c r="G53" s="8">
        <f t="shared" si="10"/>
        <v>148.57689107942895</v>
      </c>
      <c r="H53" s="8">
        <f t="shared" si="10"/>
        <v>497.15378215885789</v>
      </c>
    </row>
    <row r="54" spans="1:8" x14ac:dyDescent="0.2">
      <c r="A54" s="11"/>
      <c r="B54" s="11">
        <v>3.5999999999999997E-2</v>
      </c>
      <c r="C54">
        <f t="shared" si="9"/>
        <v>1.7374517374517211</v>
      </c>
      <c r="D54" s="8">
        <f t="shared" si="10"/>
        <v>177.87754241480815</v>
      </c>
      <c r="E54" s="8">
        <f t="shared" si="10"/>
        <v>117.27211057907265</v>
      </c>
      <c r="F54" s="8">
        <f t="shared" si="10"/>
        <v>-26.383509131139959</v>
      </c>
      <c r="G54" s="8">
        <f t="shared" si="10"/>
        <v>147.23298173772008</v>
      </c>
      <c r="H54" s="8">
        <f t="shared" si="10"/>
        <v>494.46596347544016</v>
      </c>
    </row>
    <row r="55" spans="1:8" x14ac:dyDescent="0.2">
      <c r="A55" s="11"/>
      <c r="B55" s="11">
        <v>3.6999999999999998E-2</v>
      </c>
      <c r="C55">
        <f t="shared" si="9"/>
        <v>1.5429122468659671</v>
      </c>
      <c r="D55" s="8">
        <f t="shared" si="10"/>
        <v>176.79409765102653</v>
      </c>
      <c r="E55" s="8">
        <f t="shared" si="10"/>
        <v>116.43117961974077</v>
      </c>
      <c r="F55" s="8">
        <f t="shared" si="10"/>
        <v>-27.052228589023542</v>
      </c>
      <c r="G55" s="8">
        <f t="shared" si="10"/>
        <v>145.89554282195292</v>
      </c>
      <c r="H55" s="8">
        <f t="shared" si="10"/>
        <v>491.79108564390583</v>
      </c>
    </row>
    <row r="56" spans="1:8" x14ac:dyDescent="0.2">
      <c r="A56" s="11"/>
      <c r="B56" s="11">
        <v>3.7999999999999999E-2</v>
      </c>
      <c r="C56">
        <f t="shared" si="9"/>
        <v>1.348747591522141</v>
      </c>
      <c r="D56" s="8">
        <f t="shared" si="10"/>
        <v>175.71503177678193</v>
      </c>
      <c r="E56" s="8">
        <f t="shared" si="10"/>
        <v>115.59368943684791</v>
      </c>
      <c r="F56" s="8">
        <f t="shared" si="10"/>
        <v>-27.7177315075742</v>
      </c>
      <c r="G56" s="8">
        <f t="shared" si="10"/>
        <v>144.5645369848516</v>
      </c>
      <c r="H56" s="8">
        <f t="shared" si="10"/>
        <v>489.1290739697032</v>
      </c>
    </row>
    <row r="57" spans="1:8" x14ac:dyDescent="0.2">
      <c r="A57" s="11"/>
      <c r="B57" s="11">
        <v>3.9E-2</v>
      </c>
      <c r="C57">
        <f t="shared" si="9"/>
        <v>1.1549566891241625</v>
      </c>
      <c r="D57" s="8">
        <f t="shared" si="10"/>
        <v>174.64032227811367</v>
      </c>
      <c r="E57" s="8">
        <f t="shared" si="10"/>
        <v>114.75962191911876</v>
      </c>
      <c r="F57" s="8">
        <f t="shared" si="10"/>
        <v>-28.380036434801838</v>
      </c>
      <c r="G57" s="8">
        <f t="shared" si="10"/>
        <v>143.23992713039632</v>
      </c>
      <c r="H57" s="8">
        <f t="shared" si="10"/>
        <v>486.47985426079265</v>
      </c>
    </row>
    <row r="58" spans="1:8" x14ac:dyDescent="0.2">
      <c r="A58" s="11"/>
      <c r="B58" s="11">
        <v>0.04</v>
      </c>
      <c r="C58">
        <f t="shared" si="9"/>
        <v>0.96153846153845279</v>
      </c>
      <c r="D58" s="8">
        <f t="shared" si="10"/>
        <v>173.56994678057487</v>
      </c>
      <c r="E58" s="8">
        <f t="shared" si="10"/>
        <v>113.92895907006056</v>
      </c>
      <c r="F58" s="8">
        <f t="shared" si="10"/>
        <v>-29.039161794054849</v>
      </c>
      <c r="G58" s="8">
        <f t="shared" si="10"/>
        <v>141.9216764118903</v>
      </c>
      <c r="H58" s="8">
        <f t="shared" si="10"/>
        <v>483.84335282378061</v>
      </c>
    </row>
    <row r="59" spans="1:8" x14ac:dyDescent="0.2">
      <c r="A59" s="11"/>
      <c r="B59" s="11">
        <v>4.1000000000000002E-2</v>
      </c>
      <c r="C59">
        <f t="shared" si="9"/>
        <v>0.76849183477426664</v>
      </c>
      <c r="D59" s="8">
        <f t="shared" si="10"/>
        <v>172.50388304822707</v>
      </c>
      <c r="E59" s="8">
        <f t="shared" si="10"/>
        <v>113.10168300711959</v>
      </c>
      <c r="F59" s="8">
        <f t="shared" si="10"/>
        <v>-29.695125884975113</v>
      </c>
      <c r="G59" s="8">
        <f t="shared" si="10"/>
        <v>140.60974823004977</v>
      </c>
      <c r="H59" s="8">
        <f t="shared" si="10"/>
        <v>481.21949646009955</v>
      </c>
    </row>
    <row r="60" spans="1:8" x14ac:dyDescent="0.2">
      <c r="A60" s="11"/>
      <c r="B60" s="11">
        <v>4.2000000000000003E-2</v>
      </c>
      <c r="C60">
        <f t="shared" si="9"/>
        <v>0.57581573896351301</v>
      </c>
      <c r="D60" s="8">
        <f t="shared" si="10"/>
        <v>171.44210898263844</v>
      </c>
      <c r="E60" s="8">
        <f t="shared" si="10"/>
        <v>112.27777596084115</v>
      </c>
      <c r="F60" s="8">
        <f t="shared" si="10"/>
        <v>-30.347946884447822</v>
      </c>
      <c r="G60" s="8">
        <f t="shared" si="10"/>
        <v>139.30410623110436</v>
      </c>
      <c r="H60" s="8">
        <f t="shared" si="10"/>
        <v>478.60821246220871</v>
      </c>
    </row>
    <row r="61" spans="1:8" x14ac:dyDescent="0.2">
      <c r="A61" s="11"/>
      <c r="B61" s="11">
        <v>4.2999999999999997E-2</v>
      </c>
      <c r="C61">
        <f t="shared" si="9"/>
        <v>0.38350910834134311</v>
      </c>
      <c r="D61" s="8">
        <f t="shared" si="10"/>
        <v>170.38460262189449</v>
      </c>
      <c r="E61" s="8">
        <f t="shared" si="10"/>
        <v>111.45722027403961</v>
      </c>
      <c r="F61" s="8">
        <f t="shared" si="10"/>
        <v>-30.997642847540476</v>
      </c>
      <c r="G61" s="8">
        <f t="shared" si="10"/>
        <v>138.00471430491905</v>
      </c>
      <c r="H61" s="8">
        <f t="shared" si="10"/>
        <v>476.0094286098381</v>
      </c>
    </row>
    <row r="62" spans="1:8" x14ac:dyDescent="0.2">
      <c r="A62" s="11"/>
      <c r="B62" s="11">
        <v>4.3999999999999997E-2</v>
      </c>
      <c r="C62">
        <f t="shared" si="9"/>
        <v>0.19157088122605614</v>
      </c>
      <c r="D62" s="8">
        <f t="shared" si="10"/>
        <v>169.33134213961293</v>
      </c>
      <c r="E62" s="8">
        <f t="shared" si="10"/>
        <v>110.63999840097252</v>
      </c>
      <c r="F62" s="8">
        <f t="shared" si="10"/>
        <v>-31.644231708436337</v>
      </c>
      <c r="G62" s="8">
        <f t="shared" si="10"/>
        <v>136.71153658312733</v>
      </c>
      <c r="H62" s="8">
        <f t="shared" si="10"/>
        <v>473.42307316625465</v>
      </c>
    </row>
    <row r="63" spans="1:8" x14ac:dyDescent="0.2">
      <c r="A63" s="11"/>
      <c r="B63" s="11">
        <v>4.4999999999999998E-2</v>
      </c>
      <c r="C63">
        <f t="shared" si="9"/>
        <v>0</v>
      </c>
      <c r="D63" s="8">
        <f t="shared" si="10"/>
        <v>168.28230584397062</v>
      </c>
      <c r="E63" s="8">
        <f t="shared" si="10"/>
        <v>109.82609290652471</v>
      </c>
      <c r="F63" s="8">
        <f t="shared" si="10"/>
        <v>-32.287731281357026</v>
      </c>
      <c r="G63" s="8">
        <f t="shared" si="10"/>
        <v>135.42453743728595</v>
      </c>
      <c r="H63" s="8">
        <f t="shared" si="10"/>
        <v>470.8490748745719</v>
      </c>
    </row>
    <row r="64" spans="1:8" x14ac:dyDescent="0.2">
      <c r="A64" s="11"/>
      <c r="B64" s="11">
        <v>4.5999999999999999E-2</v>
      </c>
      <c r="C64">
        <f t="shared" si="9"/>
        <v>-0.19120458891015346</v>
      </c>
      <c r="D64" s="8">
        <f t="shared" si="10"/>
        <v>167.23747217673457</v>
      </c>
      <c r="E64" s="8">
        <f t="shared" si="10"/>
        <v>109.01548646539607</v>
      </c>
      <c r="F64" s="8">
        <f t="shared" si="10"/>
        <v>-32.928159261480175</v>
      </c>
      <c r="G64" s="8">
        <f t="shared" si="10"/>
        <v>134.14368147703965</v>
      </c>
      <c r="H64" s="8">
        <f t="shared" si="10"/>
        <v>468.2873629540793</v>
      </c>
    </row>
    <row r="65" spans="1:8" x14ac:dyDescent="0.2">
      <c r="A65" s="11"/>
      <c r="B65" s="11">
        <v>4.7E-2</v>
      </c>
      <c r="C65">
        <f t="shared" si="9"/>
        <v>-0.38204393505250778</v>
      </c>
      <c r="D65" s="8">
        <f t="shared" si="10"/>
        <v>166.1968197123046</v>
      </c>
      <c r="E65" s="8">
        <f t="shared" si="10"/>
        <v>108.20816186129902</v>
      </c>
      <c r="F65" s="8">
        <f t="shared" si="10"/>
        <v>-33.565533225846281</v>
      </c>
      <c r="G65" s="8">
        <f t="shared" si="10"/>
        <v>132.86893354830744</v>
      </c>
      <c r="H65" s="8">
        <f t="shared" si="10"/>
        <v>465.73786709661488</v>
      </c>
    </row>
    <row r="66" spans="1:8" x14ac:dyDescent="0.2">
      <c r="A66" s="11"/>
      <c r="B66" s="11">
        <v>4.8000000000000001E-2</v>
      </c>
      <c r="C66">
        <f t="shared" si="9"/>
        <v>-0.5725190839694676</v>
      </c>
      <c r="D66" s="8">
        <f t="shared" si="10"/>
        <v>165.16032715675999</v>
      </c>
      <c r="E66" s="8">
        <f t="shared" si="10"/>
        <v>107.40410198615973</v>
      </c>
      <c r="F66" s="8">
        <f t="shared" si="10"/>
        <v>-34.199870634260776</v>
      </c>
      <c r="G66" s="8">
        <f t="shared" si="10"/>
        <v>131.60025873147845</v>
      </c>
      <c r="H66" s="8">
        <f t="shared" si="10"/>
        <v>463.2005174629569</v>
      </c>
    </row>
    <row r="67" spans="1:8" x14ac:dyDescent="0.2">
      <c r="A67" s="11"/>
      <c r="B67" s="11">
        <v>4.9000000000000002E-2</v>
      </c>
      <c r="C67">
        <f t="shared" si="9"/>
        <v>-0.76263107721638335</v>
      </c>
      <c r="D67" s="8">
        <f t="shared" si="10"/>
        <v>164.12797334691828</v>
      </c>
      <c r="E67" s="8">
        <f t="shared" si="10"/>
        <v>106.60328983932905</v>
      </c>
      <c r="F67" s="8">
        <f t="shared" si="10"/>
        <v>-34.831188830185141</v>
      </c>
      <c r="G67" s="8">
        <f t="shared" si="10"/>
        <v>130.33762233962972</v>
      </c>
      <c r="H67" s="8">
        <f t="shared" si="10"/>
        <v>460.67524467925944</v>
      </c>
    </row>
    <row r="68" spans="1:8" x14ac:dyDescent="0.2">
      <c r="A68" s="11"/>
      <c r="B68" s="11">
        <v>0.05</v>
      </c>
      <c r="C68">
        <f t="shared" si="9"/>
        <v>-0.95238095238096321</v>
      </c>
      <c r="D68" s="8">
        <f t="shared" si="10"/>
        <v>163.09973724939709</v>
      </c>
      <c r="E68" s="8">
        <f t="shared" si="10"/>
        <v>105.80570852679693</v>
      </c>
      <c r="F68" s="8">
        <f t="shared" si="10"/>
        <v>-35.459505041623601</v>
      </c>
      <c r="G68" s="8">
        <f t="shared" si="10"/>
        <v>129.0809899167528</v>
      </c>
      <c r="H68" s="8">
        <f t="shared" si="10"/>
        <v>458.1619798335056</v>
      </c>
    </row>
    <row r="69" spans="1:8" x14ac:dyDescent="0.2">
      <c r="A69" s="11"/>
      <c r="B69" s="11">
        <v>5.0999999999999997E-2</v>
      </c>
      <c r="C69">
        <f t="shared" si="9"/>
        <v>-1.1417697431018041</v>
      </c>
      <c r="D69" s="8">
        <f t="shared" si="10"/>
        <v>162.07559795968766</v>
      </c>
      <c r="E69" s="8">
        <f t="shared" si="10"/>
        <v>105.01134126041603</v>
      </c>
      <c r="F69" s="8">
        <f t="shared" si="10"/>
        <v>-36.084836381999736</v>
      </c>
      <c r="G69" s="8">
        <f t="shared" si="10"/>
        <v>127.83032723600053</v>
      </c>
      <c r="H69" s="8">
        <f t="shared" si="10"/>
        <v>455.66065447200106</v>
      </c>
    </row>
    <row r="70" spans="1:8" x14ac:dyDescent="0.2">
      <c r="A70" s="11"/>
      <c r="B70" s="11">
        <v>5.1999999999999998E-2</v>
      </c>
      <c r="C70">
        <f t="shared" si="9"/>
        <v>-1.3307984790874627</v>
      </c>
      <c r="D70" s="8">
        <f t="shared" si="10"/>
        <v>161.05553470123311</v>
      </c>
      <c r="E70" s="8">
        <f t="shared" si="10"/>
        <v>104.22017135712974</v>
      </c>
      <c r="F70" s="8">
        <f t="shared" si="10"/>
        <v>-36.707199851027013</v>
      </c>
      <c r="G70" s="8">
        <f t="shared" si="10"/>
        <v>126.58560029794597</v>
      </c>
      <c r="H70" s="8">
        <f t="shared" si="10"/>
        <v>453.17120059589195</v>
      </c>
    </row>
    <row r="71" spans="1:8" x14ac:dyDescent="0.2">
      <c r="A71" s="11"/>
      <c r="B71" s="11">
        <v>5.2999999999999999E-2</v>
      </c>
      <c r="C71">
        <f t="shared" si="9"/>
        <v>-1.5194681861348442</v>
      </c>
      <c r="D71" s="8">
        <f t="shared" si="10"/>
        <v>160.03952682451632</v>
      </c>
      <c r="E71" s="8">
        <f t="shared" si="10"/>
        <v>103.43218223820813</v>
      </c>
      <c r="F71" s="8">
        <f t="shared" si="10"/>
        <v>-37.326612335571042</v>
      </c>
      <c r="G71" s="8">
        <f t="shared" si="10"/>
        <v>125.34677532885792</v>
      </c>
      <c r="H71" s="8">
        <f t="shared" si="10"/>
        <v>450.69355065771583</v>
      </c>
    </row>
    <row r="72" spans="1:8" x14ac:dyDescent="0.2">
      <c r="A72" s="11"/>
      <c r="B72" s="11">
        <v>5.3999999999999999E-2</v>
      </c>
      <c r="C72">
        <f t="shared" si="9"/>
        <v>-1.7077798861480176</v>
      </c>
      <c r="D72" s="8">
        <f t="shared" si="10"/>
        <v>159.02755380615281</v>
      </c>
      <c r="E72" s="8">
        <f t="shared" si="10"/>
        <v>102.64735742848865</v>
      </c>
      <c r="F72" s="8">
        <f t="shared" si="10"/>
        <v>-37.943090610505578</v>
      </c>
      <c r="G72" s="8">
        <f t="shared" si="10"/>
        <v>124.11381877898884</v>
      </c>
      <c r="H72" s="8">
        <f t="shared" si="10"/>
        <v>448.22763755797769</v>
      </c>
    </row>
    <row r="73" spans="1:8" x14ac:dyDescent="0.2">
      <c r="A73" s="11"/>
      <c r="B73" s="11">
        <v>5.5E-2</v>
      </c>
      <c r="C73">
        <f t="shared" si="9"/>
        <v>-1.8957345971563768</v>
      </c>
      <c r="D73" s="8">
        <f t="shared" si="10"/>
        <v>158.019595247994</v>
      </c>
      <c r="E73" s="8">
        <f t="shared" si="10"/>
        <v>101.86568055562503</v>
      </c>
      <c r="F73" s="8">
        <f t="shared" si="10"/>
        <v>-38.556651339559693</v>
      </c>
      <c r="G73" s="8">
        <f t="shared" si="10"/>
        <v>122.88669732088061</v>
      </c>
      <c r="H73" s="8">
        <f t="shared" si="10"/>
        <v>445.77339464176123</v>
      </c>
    </row>
    <row r="74" spans="1:8" x14ac:dyDescent="0.2">
      <c r="A74" s="11"/>
      <c r="B74" s="11">
        <v>5.6000000000000001E-2</v>
      </c>
      <c r="C74">
        <f t="shared" si="9"/>
        <v>-2.0833333333333428</v>
      </c>
      <c r="D74" s="8">
        <f t="shared" si="10"/>
        <v>157.01563087623452</v>
      </c>
      <c r="E74" s="8">
        <f t="shared" si="10"/>
        <v>101.08713534934026</v>
      </c>
      <c r="F74" s="8">
        <f t="shared" si="10"/>
        <v>-39.167311076159422</v>
      </c>
      <c r="G74" s="8">
        <f t="shared" si="10"/>
        <v>121.66537784768116</v>
      </c>
      <c r="H74" s="8">
        <f t="shared" si="10"/>
        <v>443.33075569536231</v>
      </c>
    </row>
    <row r="75" spans="1:8" x14ac:dyDescent="0.2">
      <c r="A75" s="11"/>
      <c r="B75" s="11">
        <v>5.7000000000000002E-2</v>
      </c>
      <c r="C75">
        <f t="shared" si="9"/>
        <v>-2.2705771050141834</v>
      </c>
      <c r="D75" s="8">
        <f t="shared" si="10"/>
        <v>156.01564054053006</v>
      </c>
      <c r="E75" s="8">
        <f t="shared" si="10"/>
        <v>100.31170564068772</v>
      </c>
      <c r="F75" s="8">
        <f t="shared" si="10"/>
        <v>-39.775086264260551</v>
      </c>
      <c r="G75" s="8">
        <f t="shared" si="10"/>
        <v>120.4498274714789</v>
      </c>
      <c r="H75" s="8">
        <f t="shared" si="10"/>
        <v>440.8996549429578</v>
      </c>
    </row>
    <row r="76" spans="1:8" x14ac:dyDescent="0.2">
      <c r="A76" s="11"/>
      <c r="B76" s="11">
        <v>5.8000000000000003E-2</v>
      </c>
      <c r="C76">
        <f t="shared" si="9"/>
        <v>-2.457466918714573</v>
      </c>
      <c r="D76" s="8">
        <f t="shared" si="10"/>
        <v>155.0196042131189</v>
      </c>
      <c r="E76" s="8">
        <f t="shared" si="10"/>
        <v>99.539375361316601</v>
      </c>
      <c r="F76" s="8">
        <f t="shared" si="10"/>
        <v>-40.379993239176116</v>
      </c>
      <c r="G76" s="8">
        <f t="shared" si="10"/>
        <v>119.24001352164777</v>
      </c>
      <c r="H76" s="8">
        <f t="shared" si="10"/>
        <v>438.48002704329554</v>
      </c>
    </row>
    <row r="77" spans="1:8" x14ac:dyDescent="0.2">
      <c r="A77" s="11"/>
      <c r="B77" s="11">
        <v>5.8999999999999997E-2</v>
      </c>
      <c r="C77">
        <f t="shared" si="9"/>
        <v>-2.6440037771482423</v>
      </c>
      <c r="D77" s="8">
        <f t="shared" si="10"/>
        <v>154.02750198795388</v>
      </c>
      <c r="E77" s="8">
        <f t="shared" si="10"/>
        <v>98.770128542744942</v>
      </c>
      <c r="F77" s="8">
        <f t="shared" si="10"/>
        <v>-40.982048228395172</v>
      </c>
      <c r="G77" s="8">
        <f t="shared" si="10"/>
        <v>118.03590354320966</v>
      </c>
      <c r="H77" s="8">
        <f t="shared" si="10"/>
        <v>436.07180708641931</v>
      </c>
    </row>
    <row r="78" spans="1:8" x14ac:dyDescent="0.2">
      <c r="A78" s="11"/>
      <c r="B78" s="11">
        <v>0.06</v>
      </c>
      <c r="C78">
        <f t="shared" si="9"/>
        <v>-2.8301886792452819</v>
      </c>
      <c r="D78" s="8">
        <f t="shared" si="10"/>
        <v>153.03931407983868</v>
      </c>
      <c r="E78" s="8">
        <f t="shared" si="10"/>
        <v>98.003949315637385</v>
      </c>
      <c r="F78" s="8">
        <f t="shared" si="10"/>
        <v>-41.581267352395912</v>
      </c>
      <c r="G78" s="8">
        <f t="shared" si="10"/>
        <v>116.83746529520818</v>
      </c>
      <c r="H78" s="8">
        <f t="shared" si="10"/>
        <v>433.67493059041635</v>
      </c>
    </row>
    <row r="79" spans="1:8" x14ac:dyDescent="0.2">
      <c r="A79" s="11"/>
      <c r="B79" s="11">
        <v>6.0999999999999999E-2</v>
      </c>
      <c r="C79">
        <f t="shared" si="9"/>
        <v>-3.0160226201696503</v>
      </c>
      <c r="D79" s="8">
        <f t="shared" si="10"/>
        <v>152.05502082357327</v>
      </c>
      <c r="E79" s="8">
        <f t="shared" si="10"/>
        <v>97.240821909089902</v>
      </c>
      <c r="F79" s="8">
        <f t="shared" si="10"/>
        <v>-42.177666625451025</v>
      </c>
      <c r="G79" s="8">
        <f t="shared" si="10"/>
        <v>115.64466674909795</v>
      </c>
      <c r="H79" s="8">
        <f t="shared" si="10"/>
        <v>431.2893334981959</v>
      </c>
    </row>
    <row r="80" spans="1:8" x14ac:dyDescent="0.2">
      <c r="A80" s="11"/>
      <c r="B80" s="11">
        <v>6.2E-2</v>
      </c>
      <c r="C80">
        <f t="shared" si="9"/>
        <v>-3.2015065913371075</v>
      </c>
      <c r="D80" s="8">
        <f t="shared" si="10"/>
        <v>151.07460267310404</v>
      </c>
      <c r="E80" s="8">
        <f t="shared" si="10"/>
        <v>96.480730649919309</v>
      </c>
      <c r="F80" s="8">
        <f t="shared" si="10"/>
        <v>-42.771261956427054</v>
      </c>
      <c r="G80" s="8">
        <f t="shared" si="10"/>
        <v>114.45747608714589</v>
      </c>
      <c r="H80" s="8">
        <f t="shared" si="10"/>
        <v>428.91495217429178</v>
      </c>
    </row>
    <row r="81" spans="1:8" x14ac:dyDescent="0.2">
      <c r="A81" s="11"/>
      <c r="B81" s="11">
        <v>6.3E-2</v>
      </c>
      <c r="C81">
        <f t="shared" si="9"/>
        <v>-3.3866415804327232</v>
      </c>
      <c r="D81" s="8">
        <f t="shared" si="10"/>
        <v>150.09804020068319</v>
      </c>
      <c r="E81" s="8">
        <f t="shared" si="10"/>
        <v>95.723659961959896</v>
      </c>
      <c r="F81" s="8">
        <f t="shared" si="10"/>
        <v>-43.362069149576001</v>
      </c>
      <c r="G81" s="8">
        <f t="shared" si="10"/>
        <v>113.275861700848</v>
      </c>
      <c r="H81" s="8">
        <f t="shared" si="10"/>
        <v>426.55172340169599</v>
      </c>
    </row>
    <row r="82" spans="1:8" x14ac:dyDescent="0.2">
      <c r="A82" s="11"/>
      <c r="B82" s="11">
        <v>6.4000000000000001E-2</v>
      </c>
      <c r="C82">
        <f t="shared" si="9"/>
        <v>-3.5714285714285836</v>
      </c>
      <c r="D82" s="8">
        <f t="shared" si="10"/>
        <v>149.1253140960323</v>
      </c>
      <c r="E82" s="8">
        <f t="shared" si="10"/>
        <v>94.969594365364145</v>
      </c>
      <c r="F82" s="8">
        <f t="shared" si="10"/>
        <v>-43.950103905321527</v>
      </c>
      <c r="G82" s="8">
        <f t="shared" si="10"/>
        <v>112.09979218935695</v>
      </c>
      <c r="H82" s="8">
        <f t="shared" si="10"/>
        <v>424.19958437871389</v>
      </c>
    </row>
    <row r="83" spans="1:8" x14ac:dyDescent="0.2">
      <c r="A83" s="11"/>
      <c r="B83" s="11">
        <v>6.5000000000000002E-2</v>
      </c>
      <c r="C83">
        <f t="shared" si="9"/>
        <v>-3.7558685446009292</v>
      </c>
      <c r="D83" s="8">
        <f t="shared" ref="D83:H133" si="13">$D$5+(D$6/(1+$B83))+(D$7/(1+$B83)^2)+(D$8/(1+$B83)^3)+(D$9/(1+$B83)^4)</f>
        <v>148.15640516551588</v>
      </c>
      <c r="E83" s="8">
        <f t="shared" si="13"/>
        <v>94.218518475911537</v>
      </c>
      <c r="F83" s="8">
        <f t="shared" si="13"/>
        <v>-44.535381821036623</v>
      </c>
      <c r="G83" s="8">
        <f t="shared" si="13"/>
        <v>110.92923635792675</v>
      </c>
      <c r="H83" s="8">
        <f t="shared" si="13"/>
        <v>421.85847271585351</v>
      </c>
    </row>
    <row r="84" spans="1:8" x14ac:dyDescent="0.2">
      <c r="A84" s="11"/>
      <c r="B84" s="11">
        <v>6.6000000000000003E-2</v>
      </c>
      <c r="C84">
        <f t="shared" ref="C84:C147" si="14">$C$5+$C$6/(1+$B84)</f>
        <v>-3.939962476547862</v>
      </c>
      <c r="D84" s="8">
        <f t="shared" si="13"/>
        <v>147.19129433131715</v>
      </c>
      <c r="E84" s="8">
        <f t="shared" si="13"/>
        <v>93.470417004319842</v>
      </c>
      <c r="F84" s="8">
        <f t="shared" si="13"/>
        <v>-45.117918391817454</v>
      </c>
      <c r="G84" s="8">
        <f t="shared" si="13"/>
        <v>109.76416321636509</v>
      </c>
      <c r="H84" s="8">
        <f t="shared" si="13"/>
        <v>419.52832643273018</v>
      </c>
    </row>
    <row r="85" spans="1:8" x14ac:dyDescent="0.2">
      <c r="A85" s="11"/>
      <c r="B85" s="11">
        <v>6.7000000000000004E-2</v>
      </c>
      <c r="C85">
        <f t="shared" si="14"/>
        <v>-4.1237113402061709</v>
      </c>
      <c r="D85" s="8">
        <f t="shared" si="13"/>
        <v>146.22996263062564</v>
      </c>
      <c r="E85" s="8">
        <f t="shared" si="13"/>
        <v>92.725274755565522</v>
      </c>
      <c r="F85" s="8">
        <f t="shared" si="13"/>
        <v>-45.697729011247503</v>
      </c>
      <c r="G85" s="8">
        <f t="shared" si="13"/>
        <v>108.60454197750499</v>
      </c>
      <c r="H85" s="8">
        <f t="shared" si="13"/>
        <v>417.20908395500999</v>
      </c>
    </row>
    <row r="86" spans="1:8" x14ac:dyDescent="0.2">
      <c r="A86" s="11"/>
      <c r="B86" s="11">
        <v>6.8000000000000005E-2</v>
      </c>
      <c r="C86">
        <f t="shared" si="14"/>
        <v>-4.3071161048689248</v>
      </c>
      <c r="D86" s="8">
        <f t="shared" si="13"/>
        <v>145.27239121482623</v>
      </c>
      <c r="E86" s="8">
        <f t="shared" si="13"/>
        <v>91.983076628206391</v>
      </c>
      <c r="F86" s="8">
        <f t="shared" si="13"/>
        <v>-46.274828972158332</v>
      </c>
      <c r="G86" s="8">
        <f t="shared" si="13"/>
        <v>107.45034205568334</v>
      </c>
      <c r="H86" s="8">
        <f t="shared" si="13"/>
        <v>414.90068411136667</v>
      </c>
    </row>
    <row r="87" spans="1:8" x14ac:dyDescent="0.2">
      <c r="A87" s="11"/>
      <c r="B87" s="11">
        <v>6.9000000000000006E-2</v>
      </c>
      <c r="C87">
        <f t="shared" si="14"/>
        <v>-4.4901777362020425</v>
      </c>
      <c r="D87" s="8">
        <f t="shared" si="13"/>
        <v>144.31856134869912</v>
      </c>
      <c r="E87" s="8">
        <f t="shared" si="13"/>
        <v>91.243807613712804</v>
      </c>
      <c r="F87" s="8">
        <f t="shared" si="13"/>
        <v>-46.849233467381225</v>
      </c>
      <c r="G87" s="8">
        <f t="shared" si="13"/>
        <v>106.30153306523755</v>
      </c>
      <c r="H87" s="8">
        <f t="shared" si="13"/>
        <v>412.6030661304751</v>
      </c>
    </row>
    <row r="88" spans="1:8" x14ac:dyDescent="0.2">
      <c r="A88" s="11"/>
      <c r="B88" s="11">
        <v>7.0000000000000007E-2</v>
      </c>
      <c r="C88">
        <f t="shared" si="14"/>
        <v>-4.6728971962616868</v>
      </c>
      <c r="D88" s="8">
        <f t="shared" si="13"/>
        <v>143.36845440962242</v>
      </c>
      <c r="E88" s="8">
        <f t="shared" si="13"/>
        <v>90.507452795801527</v>
      </c>
      <c r="F88" s="8">
        <f t="shared" si="13"/>
        <v>-47.420957590494965</v>
      </c>
      <c r="G88" s="8">
        <f t="shared" si="13"/>
        <v>105.15808481901007</v>
      </c>
      <c r="H88" s="8">
        <f t="shared" si="13"/>
        <v>410.31616963802014</v>
      </c>
    </row>
    <row r="89" spans="1:8" x14ac:dyDescent="0.2">
      <c r="A89" s="11"/>
      <c r="B89" s="11">
        <v>7.0999999999999994E-2</v>
      </c>
      <c r="C89">
        <f t="shared" si="14"/>
        <v>-4.8552754435107204</v>
      </c>
      <c r="D89" s="8">
        <f t="shared" si="13"/>
        <v>142.42205188678429</v>
      </c>
      <c r="E89" s="8">
        <f t="shared" si="13"/>
        <v>89.773997349777318</v>
      </c>
      <c r="F89" s="8">
        <f t="shared" si="13"/>
        <v>-47.990016336565219</v>
      </c>
      <c r="G89" s="8">
        <f t="shared" si="13"/>
        <v>104.01996732686956</v>
      </c>
      <c r="H89" s="8">
        <f t="shared" si="13"/>
        <v>408.03993465373912</v>
      </c>
    </row>
    <row r="90" spans="1:8" x14ac:dyDescent="0.2">
      <c r="A90" s="11"/>
      <c r="B90" s="11">
        <v>7.1999999999999995E-2</v>
      </c>
      <c r="C90">
        <f t="shared" si="14"/>
        <v>-5.0373134328358447</v>
      </c>
      <c r="D90" s="8">
        <f t="shared" si="13"/>
        <v>141.47933538039885</v>
      </c>
      <c r="E90" s="8">
        <f t="shared" si="13"/>
        <v>89.043426541878162</v>
      </c>
      <c r="F90" s="8">
        <f t="shared" si="13"/>
        <v>-48.556424602879474</v>
      </c>
      <c r="G90" s="8">
        <f t="shared" si="13"/>
        <v>102.88715079424105</v>
      </c>
      <c r="H90" s="8">
        <f t="shared" si="13"/>
        <v>405.7743015884821</v>
      </c>
    </row>
    <row r="91" spans="1:8" x14ac:dyDescent="0.2">
      <c r="A91" s="11"/>
      <c r="B91" s="11">
        <v>7.2999999999999995E-2</v>
      </c>
      <c r="C91">
        <f t="shared" si="14"/>
        <v>-5.219012115563828</v>
      </c>
      <c r="D91" s="8">
        <f t="shared" si="13"/>
        <v>140.54028660093059</v>
      </c>
      <c r="E91" s="8">
        <f t="shared" si="13"/>
        <v>88.315725728627342</v>
      </c>
      <c r="F91" s="8">
        <f t="shared" si="13"/>
        <v>-49.120197189674144</v>
      </c>
      <c r="G91" s="8">
        <f t="shared" si="13"/>
        <v>101.75960562065171</v>
      </c>
      <c r="H91" s="8">
        <f t="shared" si="13"/>
        <v>403.51921124130342</v>
      </c>
    </row>
    <row r="92" spans="1:8" x14ac:dyDescent="0.2">
      <c r="A92" s="11"/>
      <c r="B92" s="11">
        <v>7.3999999999999996E-2</v>
      </c>
      <c r="C92">
        <f t="shared" si="14"/>
        <v>-5.4003724394785877</v>
      </c>
      <c r="D92" s="8">
        <f t="shared" si="13"/>
        <v>139.60488736832215</v>
      </c>
      <c r="E92" s="8">
        <f t="shared" si="13"/>
        <v>87.590880356188606</v>
      </c>
      <c r="F92" s="8">
        <f t="shared" si="13"/>
        <v>-49.681348800857705</v>
      </c>
      <c r="G92" s="8">
        <f t="shared" si="13"/>
        <v>100.63730239828459</v>
      </c>
      <c r="H92" s="8">
        <f t="shared" si="13"/>
        <v>401.27460479656918</v>
      </c>
    </row>
    <row r="93" spans="1:8" x14ac:dyDescent="0.2">
      <c r="A93" s="11"/>
      <c r="B93" s="11">
        <v>7.4999999999999997E-2</v>
      </c>
      <c r="C93">
        <f t="shared" si="14"/>
        <v>-5.5813953488371908</v>
      </c>
      <c r="D93" s="8">
        <f t="shared" si="13"/>
        <v>138.67311961123215</v>
      </c>
      <c r="E93" s="8">
        <f t="shared" si="13"/>
        <v>86.868875959729763</v>
      </c>
      <c r="F93" s="8">
        <f t="shared" si="13"/>
        <v>-50.23989404472502</v>
      </c>
      <c r="G93" s="8">
        <f t="shared" si="13"/>
        <v>99.520211910549961</v>
      </c>
      <c r="H93" s="8">
        <f t="shared" si="13"/>
        <v>399.04042382109992</v>
      </c>
    </row>
    <row r="94" spans="1:8" x14ac:dyDescent="0.2">
      <c r="A94" s="11"/>
      <c r="B94" s="11">
        <v>7.5999999999999998E-2</v>
      </c>
      <c r="C94">
        <f t="shared" si="14"/>
        <v>-5.7620817843866234</v>
      </c>
      <c r="D94" s="8">
        <f t="shared" si="13"/>
        <v>137.74496536627464</v>
      </c>
      <c r="E94" s="8">
        <f t="shared" si="13"/>
        <v>86.149698162787658</v>
      </c>
      <c r="F94" s="8">
        <f t="shared" si="13"/>
        <v>-50.795847434668758</v>
      </c>
      <c r="G94" s="8">
        <f t="shared" si="13"/>
        <v>98.408305130662484</v>
      </c>
      <c r="H94" s="8">
        <f t="shared" si="13"/>
        <v>396.81661026132497</v>
      </c>
    </row>
    <row r="95" spans="1:8" x14ac:dyDescent="0.2">
      <c r="A95" s="11"/>
      <c r="B95" s="11">
        <v>7.6999999999999999E-2</v>
      </c>
      <c r="C95">
        <f t="shared" si="14"/>
        <v>-5.9424326833797636</v>
      </c>
      <c r="D95" s="8">
        <f t="shared" si="13"/>
        <v>136.82040677726866</v>
      </c>
      <c r="E95" s="8">
        <f t="shared" si="13"/>
        <v>85.433332676641697</v>
      </c>
      <c r="F95" s="8">
        <f t="shared" si="13"/>
        <v>-51.349223389882098</v>
      </c>
      <c r="G95" s="8">
        <f t="shared" si="13"/>
        <v>97.301553220235803</v>
      </c>
      <c r="H95" s="8">
        <f t="shared" si="13"/>
        <v>394.60310644047161</v>
      </c>
    </row>
    <row r="96" spans="1:8" x14ac:dyDescent="0.2">
      <c r="A96" s="11"/>
      <c r="B96" s="11">
        <v>7.8E-2</v>
      </c>
      <c r="C96">
        <f t="shared" si="14"/>
        <v>-6.1224489795918373</v>
      </c>
      <c r="D96" s="8">
        <f t="shared" si="13"/>
        <v>135.89942609449042</v>
      </c>
      <c r="E96" s="8">
        <f t="shared" si="13"/>
        <v>84.719765299689954</v>
      </c>
      <c r="F96" s="8">
        <f t="shared" si="13"/>
        <v>-51.90003623605773</v>
      </c>
      <c r="G96" s="8">
        <f t="shared" si="13"/>
        <v>96.19992752788454</v>
      </c>
      <c r="H96" s="8">
        <f t="shared" si="13"/>
        <v>392.39985505576908</v>
      </c>
    </row>
    <row r="97" spans="1:8" x14ac:dyDescent="0.2">
      <c r="A97" s="11"/>
      <c r="B97" s="11">
        <v>7.9000000000000001E-2</v>
      </c>
      <c r="C97">
        <f t="shared" si="14"/>
        <v>-6.3021316033364201</v>
      </c>
      <c r="D97" s="8">
        <f t="shared" si="13"/>
        <v>134.98200567393428</v>
      </c>
      <c r="E97" s="8">
        <f t="shared" si="13"/>
        <v>84.008981916831942</v>
      </c>
      <c r="F97" s="8">
        <f t="shared" si="13"/>
        <v>-52.448300206079438</v>
      </c>
      <c r="G97" s="8">
        <f t="shared" si="13"/>
        <v>95.103399587841125</v>
      </c>
      <c r="H97" s="8">
        <f t="shared" si="13"/>
        <v>390.20679917568225</v>
      </c>
    </row>
    <row r="98" spans="1:8" x14ac:dyDescent="0.2">
      <c r="A98" s="11"/>
      <c r="B98" s="11">
        <v>0.08</v>
      </c>
      <c r="C98">
        <f t="shared" si="14"/>
        <v>-6.4814814814814952</v>
      </c>
      <c r="D98" s="8">
        <f t="shared" si="13"/>
        <v>134.06812797657685</v>
      </c>
      <c r="E98" s="8">
        <f t="shared" si="13"/>
        <v>83.300968498854957</v>
      </c>
      <c r="F98" s="8">
        <f t="shared" si="13"/>
        <v>-52.99402944070934</v>
      </c>
      <c r="G98" s="8">
        <f t="shared" si="13"/>
        <v>94.011941118581319</v>
      </c>
      <c r="H98" s="8">
        <f t="shared" si="13"/>
        <v>388.02388223716264</v>
      </c>
    </row>
    <row r="99" spans="1:8" x14ac:dyDescent="0.2">
      <c r="A99" s="11"/>
      <c r="B99" s="11">
        <v>8.1000000000000003E-2</v>
      </c>
      <c r="C99">
        <f t="shared" si="14"/>
        <v>-6.6604995374653129</v>
      </c>
      <c r="D99" s="8">
        <f t="shared" si="13"/>
        <v>133.15777556764976</v>
      </c>
      <c r="E99" s="8">
        <f t="shared" si="13"/>
        <v>82.595711101827234</v>
      </c>
      <c r="F99" s="8">
        <f t="shared" si="13"/>
        <v>-53.537237989267851</v>
      </c>
      <c r="G99" s="8">
        <f t="shared" si="13"/>
        <v>92.925524021464298</v>
      </c>
      <c r="H99" s="8">
        <f t="shared" si="13"/>
        <v>385.8510480429286</v>
      </c>
    </row>
    <row r="100" spans="1:8" x14ac:dyDescent="0.2">
      <c r="A100" s="11"/>
      <c r="B100" s="11">
        <v>8.2000000000000003E-2</v>
      </c>
      <c r="C100">
        <f t="shared" si="14"/>
        <v>-6.839186691312392</v>
      </c>
      <c r="D100" s="8">
        <f t="shared" si="13"/>
        <v>132.25093111591536</v>
      </c>
      <c r="E100" s="8">
        <f t="shared" si="13"/>
        <v>81.8931958664935</v>
      </c>
      <c r="F100" s="8">
        <f t="shared" si="13"/>
        <v>-54.077939810309601</v>
      </c>
      <c r="G100" s="8">
        <f t="shared" si="13"/>
        <v>91.844120379380797</v>
      </c>
      <c r="H100" s="8">
        <f t="shared" si="13"/>
        <v>383.68824075876159</v>
      </c>
    </row>
    <row r="101" spans="1:8" x14ac:dyDescent="0.2">
      <c r="A101" s="11"/>
      <c r="B101" s="11">
        <v>8.3000000000000004E-2</v>
      </c>
      <c r="C101">
        <f t="shared" si="14"/>
        <v>-7.0175438596491233</v>
      </c>
      <c r="D101" s="8">
        <f t="shared" si="13"/>
        <v>131.34757739295063</v>
      </c>
      <c r="E101" s="8">
        <f t="shared" si="13"/>
        <v>81.19340901767805</v>
      </c>
      <c r="F101" s="8">
        <f t="shared" si="13"/>
        <v>-54.616148772292462</v>
      </c>
      <c r="G101" s="8">
        <f t="shared" si="13"/>
        <v>90.767702455415076</v>
      </c>
      <c r="H101" s="8">
        <f t="shared" si="13"/>
        <v>381.53540491083015</v>
      </c>
    </row>
    <row r="102" spans="1:8" x14ac:dyDescent="0.2">
      <c r="A102" s="11"/>
      <c r="B102" s="11">
        <v>8.4000000000000005E-2</v>
      </c>
      <c r="C102">
        <f t="shared" si="14"/>
        <v>-7.1955719557195721</v>
      </c>
      <c r="D102" s="8">
        <f t="shared" si="13"/>
        <v>130.44769727243454</v>
      </c>
      <c r="E102" s="8">
        <f t="shared" si="13"/>
        <v>80.496336863690146</v>
      </c>
      <c r="F102" s="8">
        <f t="shared" si="13"/>
        <v>-55.151878654241983</v>
      </c>
      <c r="G102" s="8">
        <f t="shared" si="13"/>
        <v>89.696242691516034</v>
      </c>
      <c r="H102" s="8">
        <f t="shared" si="13"/>
        <v>379.39248538303207</v>
      </c>
    </row>
    <row r="103" spans="1:8" x14ac:dyDescent="0.2">
      <c r="A103" s="11"/>
      <c r="B103" s="11">
        <v>8.5000000000000006E-2</v>
      </c>
      <c r="C103">
        <f t="shared" si="14"/>
        <v>-7.373271889400911</v>
      </c>
      <c r="D103" s="8">
        <f t="shared" si="13"/>
        <v>129.55127372944332</v>
      </c>
      <c r="E103" s="8">
        <f t="shared" si="13"/>
        <v>79.80196579573645</v>
      </c>
      <c r="F103" s="8">
        <f t="shared" si="13"/>
        <v>-55.685143146409331</v>
      </c>
      <c r="G103" s="8">
        <f t="shared" si="13"/>
        <v>88.629713707181338</v>
      </c>
      <c r="H103" s="8">
        <f t="shared" si="13"/>
        <v>377.25942741436268</v>
      </c>
    </row>
    <row r="104" spans="1:8" x14ac:dyDescent="0.2">
      <c r="A104" s="11"/>
      <c r="B104" s="11">
        <v>8.5999999999999993E-2</v>
      </c>
      <c r="C104">
        <f t="shared" si="14"/>
        <v>-7.550644567219166</v>
      </c>
      <c r="D104" s="8">
        <f t="shared" si="13"/>
        <v>128.65828983974896</v>
      </c>
      <c r="E104" s="8">
        <f t="shared" si="13"/>
        <v>79.110282287336162</v>
      </c>
      <c r="F104" s="8">
        <f t="shared" si="13"/>
        <v>-56.215955850925042</v>
      </c>
      <c r="G104" s="8">
        <f t="shared" si="13"/>
        <v>87.568088298149917</v>
      </c>
      <c r="H104" s="8">
        <f t="shared" si="13"/>
        <v>375.13617659629983</v>
      </c>
    </row>
    <row r="105" spans="1:8" x14ac:dyDescent="0.2">
      <c r="A105" s="11"/>
      <c r="B105" s="11">
        <v>8.6999999999999994E-2</v>
      </c>
      <c r="C105">
        <f t="shared" si="14"/>
        <v>-7.7276908923643077</v>
      </c>
      <c r="D105" s="8">
        <f t="shared" si="13"/>
        <v>127.76872877912528</v>
      </c>
      <c r="E105" s="8">
        <f t="shared" si="13"/>
        <v>78.42127289374244</v>
      </c>
      <c r="F105" s="8">
        <f t="shared" si="13"/>
        <v>-56.744330282445873</v>
      </c>
      <c r="G105" s="8">
        <f t="shared" si="13"/>
        <v>86.511339435108255</v>
      </c>
      <c r="H105" s="8">
        <f t="shared" si="13"/>
        <v>373.02267887021651</v>
      </c>
    </row>
    <row r="106" spans="1:8" x14ac:dyDescent="0.2">
      <c r="A106" s="11"/>
      <c r="B106" s="11">
        <v>8.7999999999999995E-2</v>
      </c>
      <c r="C106">
        <f t="shared" si="14"/>
        <v>-7.904411764705884</v>
      </c>
      <c r="D106" s="8">
        <f t="shared" si="13"/>
        <v>126.88257382265758</v>
      </c>
      <c r="E106" s="8">
        <f t="shared" si="13"/>
        <v>77.734924251367119</v>
      </c>
      <c r="F106" s="8">
        <f t="shared" si="13"/>
        <v>-57.270279868798013</v>
      </c>
      <c r="G106" s="8">
        <f t="shared" si="13"/>
        <v>85.459440262403973</v>
      </c>
      <c r="H106" s="8">
        <f t="shared" si="13"/>
        <v>370.91888052480795</v>
      </c>
    </row>
    <row r="107" spans="1:8" x14ac:dyDescent="0.2">
      <c r="A107" s="11"/>
      <c r="B107" s="11">
        <v>8.8999999999999996E-2</v>
      </c>
      <c r="C107">
        <f t="shared" si="14"/>
        <v>-8.0808080808080831</v>
      </c>
      <c r="D107" s="8">
        <f t="shared" si="13"/>
        <v>125.99980834405982</v>
      </c>
      <c r="E107" s="8">
        <f t="shared" si="13"/>
        <v>77.051223077211404</v>
      </c>
      <c r="F107" s="8">
        <f t="shared" si="13"/>
        <v>-57.79381795161305</v>
      </c>
      <c r="G107" s="8">
        <f t="shared" si="13"/>
        <v>84.412364096773899</v>
      </c>
      <c r="H107" s="8">
        <f t="shared" si="13"/>
        <v>368.8247281935478</v>
      </c>
    </row>
    <row r="108" spans="1:8" x14ac:dyDescent="0.2">
      <c r="A108" s="11"/>
      <c r="B108" s="11">
        <v>0.09</v>
      </c>
      <c r="C108">
        <f t="shared" si="14"/>
        <v>-8.2568807339449677</v>
      </c>
      <c r="D108" s="8">
        <f t="shared" si="13"/>
        <v>125.12041581499489</v>
      </c>
      <c r="E108" s="8">
        <f t="shared" si="13"/>
        <v>76.370156168299701</v>
      </c>
      <c r="F108" s="8">
        <f t="shared" si="13"/>
        <v>-58.314957786960719</v>
      </c>
      <c r="G108" s="8">
        <f t="shared" si="13"/>
        <v>83.370084426078563</v>
      </c>
      <c r="H108" s="8">
        <f t="shared" si="13"/>
        <v>366.74016885215713</v>
      </c>
    </row>
    <row r="109" spans="1:8" x14ac:dyDescent="0.2">
      <c r="A109" s="11"/>
      <c r="B109" s="11">
        <v>9.0999999999999998E-2</v>
      </c>
      <c r="C109">
        <f t="shared" si="14"/>
        <v>-8.4326306141154816</v>
      </c>
      <c r="D109" s="8">
        <f t="shared" si="13"/>
        <v>124.24437980440221</v>
      </c>
      <c r="E109" s="8">
        <f t="shared" si="13"/>
        <v>75.691710401119153</v>
      </c>
      <c r="F109" s="8">
        <f t="shared" si="13"/>
        <v>-58.833712545974663</v>
      </c>
      <c r="G109" s="8">
        <f t="shared" si="13"/>
        <v>82.332574908050674</v>
      </c>
      <c r="H109" s="8">
        <f t="shared" si="13"/>
        <v>364.66514981610135</v>
      </c>
    </row>
    <row r="110" spans="1:8" x14ac:dyDescent="0.2">
      <c r="A110" s="11"/>
      <c r="B110" s="11">
        <v>9.1999999999999998E-2</v>
      </c>
      <c r="C110">
        <f t="shared" si="14"/>
        <v>-8.6080586080586272</v>
      </c>
      <c r="D110" s="8">
        <f t="shared" si="13"/>
        <v>123.37168397782895</v>
      </c>
      <c r="E110" s="8">
        <f t="shared" si="13"/>
        <v>75.015872731062501</v>
      </c>
      <c r="F110" s="8">
        <f t="shared" si="13"/>
        <v>-59.35009531547442</v>
      </c>
      <c r="G110" s="8">
        <f t="shared" si="13"/>
        <v>81.299809369051161</v>
      </c>
      <c r="H110" s="8">
        <f t="shared" si="13"/>
        <v>362.59961873810232</v>
      </c>
    </row>
    <row r="111" spans="1:8" x14ac:dyDescent="0.2">
      <c r="A111" s="11"/>
      <c r="B111" s="11">
        <v>9.2999999999999999E-2</v>
      </c>
      <c r="C111">
        <f t="shared" si="14"/>
        <v>-8.7831655992680737</v>
      </c>
      <c r="D111" s="8">
        <f t="shared" si="13"/>
        <v>122.50231209676832</v>
      </c>
      <c r="E111" s="8">
        <f t="shared" si="13"/>
        <v>74.342630191877106</v>
      </c>
      <c r="F111" s="8">
        <f t="shared" si="13"/>
        <v>-59.864119098581057</v>
      </c>
      <c r="G111" s="8">
        <f t="shared" si="13"/>
        <v>80.271761802837887</v>
      </c>
      <c r="H111" s="8">
        <f t="shared" si="13"/>
        <v>360.54352360567577</v>
      </c>
    </row>
    <row r="112" spans="1:8" x14ac:dyDescent="0.2">
      <c r="A112" s="11"/>
      <c r="B112" s="11">
        <v>9.4E-2</v>
      </c>
      <c r="C112">
        <f t="shared" si="14"/>
        <v>-8.9579524680073348</v>
      </c>
      <c r="D112" s="8">
        <f t="shared" si="13"/>
        <v>121.63624801800046</v>
      </c>
      <c r="E112" s="8">
        <f t="shared" si="13"/>
        <v>73.67196989511578</v>
      </c>
      <c r="F112" s="8">
        <f t="shared" si="13"/>
        <v>-60.375796815329238</v>
      </c>
      <c r="G112" s="8">
        <f t="shared" si="13"/>
        <v>79.248406369341524</v>
      </c>
      <c r="H112" s="8">
        <f t="shared" si="13"/>
        <v>358.49681273868305</v>
      </c>
    </row>
    <row r="113" spans="1:8" x14ac:dyDescent="0.2">
      <c r="A113" s="11"/>
      <c r="B113" s="11">
        <v>9.5000000000000001E-2</v>
      </c>
      <c r="C113">
        <f t="shared" si="14"/>
        <v>-9.1324200913242066</v>
      </c>
      <c r="D113" s="8">
        <f t="shared" si="13"/>
        <v>120.77347569294177</v>
      </c>
      <c r="E113" s="8">
        <f t="shared" si="13"/>
        <v>73.00387902959497</v>
      </c>
      <c r="F113" s="8">
        <f t="shared" si="13"/>
        <v>-60.885141303272377</v>
      </c>
      <c r="G113" s="8">
        <f t="shared" si="13"/>
        <v>78.229717393455246</v>
      </c>
      <c r="H113" s="8">
        <f t="shared" si="13"/>
        <v>356.45943478691049</v>
      </c>
    </row>
    <row r="114" spans="1:8" x14ac:dyDescent="0.2">
      <c r="A114" s="11"/>
      <c r="B114" s="11">
        <v>9.6000000000000002E-2</v>
      </c>
      <c r="C114">
        <f t="shared" si="14"/>
        <v>-9.3065693430657177</v>
      </c>
      <c r="D114" s="8">
        <f t="shared" si="13"/>
        <v>119.91397916699592</v>
      </c>
      <c r="E114" s="8">
        <f t="shared" si="13"/>
        <v>72.338344860854392</v>
      </c>
      <c r="F114" s="8">
        <f t="shared" si="13"/>
        <v>-61.392165318084864</v>
      </c>
      <c r="G114" s="8">
        <f t="shared" si="13"/>
        <v>77.215669363830273</v>
      </c>
      <c r="H114" s="8">
        <f t="shared" si="13"/>
        <v>354.43133872766055</v>
      </c>
    </row>
    <row r="115" spans="1:8" x14ac:dyDescent="0.2">
      <c r="A115" s="11"/>
      <c r="B115" s="11">
        <v>9.7000000000000003E-2</v>
      </c>
      <c r="C115">
        <f t="shared" si="14"/>
        <v>-9.480401093892425</v>
      </c>
      <c r="D115" s="8">
        <f t="shared" si="13"/>
        <v>119.05774257891296</v>
      </c>
      <c r="E115" s="8">
        <f t="shared" si="13"/>
        <v>71.675354730623496</v>
      </c>
      <c r="F115" s="8">
        <f t="shared" si="13"/>
        <v>-61.896881534157473</v>
      </c>
      <c r="G115" s="8">
        <f t="shared" si="13"/>
        <v>76.206236931685055</v>
      </c>
      <c r="H115" s="8">
        <f t="shared" si="13"/>
        <v>352.41247386337011</v>
      </c>
    </row>
    <row r="116" spans="1:8" x14ac:dyDescent="0.2">
      <c r="A116" s="11"/>
      <c r="B116" s="11">
        <v>9.8000000000000004E-2</v>
      </c>
      <c r="C116">
        <f t="shared" si="14"/>
        <v>-9.6539162112932786</v>
      </c>
      <c r="D116" s="8">
        <f t="shared" si="13"/>
        <v>118.2047501601506</v>
      </c>
      <c r="E116" s="8">
        <f t="shared" si="13"/>
        <v>71.014896056289814</v>
      </c>
      <c r="F116" s="8">
        <f t="shared" si="13"/>
        <v>-62.399302545189784</v>
      </c>
      <c r="G116" s="8">
        <f t="shared" si="13"/>
        <v>75.201394909620433</v>
      </c>
      <c r="H116" s="8">
        <f t="shared" si="13"/>
        <v>350.40278981924087</v>
      </c>
    </row>
    <row r="117" spans="1:8" x14ac:dyDescent="0.2">
      <c r="A117" s="11"/>
      <c r="B117" s="11">
        <v>9.9000000000000005E-2</v>
      </c>
      <c r="C117">
        <f t="shared" si="14"/>
        <v>-9.8271155595996333</v>
      </c>
      <c r="D117" s="8">
        <f t="shared" si="13"/>
        <v>117.35498623424334</v>
      </c>
      <c r="E117" s="8">
        <f t="shared" si="13"/>
        <v>70.356956330373777</v>
      </c>
      <c r="F117" s="8">
        <f t="shared" si="13"/>
        <v>-62.899440864775642</v>
      </c>
      <c r="G117" s="8">
        <f t="shared" si="13"/>
        <v>74.201118270448717</v>
      </c>
      <c r="H117" s="8">
        <f t="shared" si="13"/>
        <v>348.40223654089743</v>
      </c>
    </row>
    <row r="118" spans="1:8" x14ac:dyDescent="0.2">
      <c r="A118" s="11"/>
      <c r="B118" s="11">
        <v>0.1</v>
      </c>
      <c r="C118">
        <f t="shared" si="14"/>
        <v>-10.000000000000028</v>
      </c>
      <c r="D118" s="8">
        <f t="shared" si="13"/>
        <v>116.50843521617369</v>
      </c>
      <c r="E118" s="8">
        <f t="shared" si="13"/>
        <v>69.701523120005419</v>
      </c>
      <c r="F118" s="8">
        <f t="shared" si="13"/>
        <v>-63.397308926985886</v>
      </c>
      <c r="G118" s="8">
        <f t="shared" si="13"/>
        <v>73.205382146028228</v>
      </c>
      <c r="H118" s="8">
        <f t="shared" si="13"/>
        <v>346.41076429205646</v>
      </c>
    </row>
    <row r="119" spans="1:8" x14ac:dyDescent="0.2">
      <c r="A119" s="11"/>
      <c r="B119" s="11">
        <v>0.10100000000000001</v>
      </c>
      <c r="C119">
        <f t="shared" si="14"/>
        <v>-10.172570390554029</v>
      </c>
      <c r="D119" s="8">
        <f t="shared" si="13"/>
        <v>115.66508161175096</v>
      </c>
      <c r="E119" s="8">
        <f t="shared" si="13"/>
        <v>69.048584066407585</v>
      </c>
      <c r="F119" s="8">
        <f t="shared" si="13"/>
        <v>-63.892919086944715</v>
      </c>
      <c r="G119" s="8">
        <f t="shared" si="13"/>
        <v>72.214161826110569</v>
      </c>
      <c r="H119" s="8">
        <f t="shared" si="13"/>
        <v>344.42832365222114</v>
      </c>
    </row>
    <row r="120" spans="1:8" x14ac:dyDescent="0.2">
      <c r="A120" s="11"/>
      <c r="B120" s="11">
        <v>0.10199999999999999</v>
      </c>
      <c r="C120">
        <f t="shared" si="14"/>
        <v>-10.344827586206918</v>
      </c>
      <c r="D120" s="8">
        <f t="shared" si="13"/>
        <v>114.82491001699202</v>
      </c>
      <c r="E120" s="8">
        <f t="shared" si="13"/>
        <v>68.398126884380744</v>
      </c>
      <c r="F120" s="8">
        <f t="shared" si="13"/>
        <v>-64.386283621402669</v>
      </c>
      <c r="G120" s="8">
        <f t="shared" si="13"/>
        <v>71.227432757194663</v>
      </c>
      <c r="H120" s="8">
        <f t="shared" si="13"/>
        <v>342.45486551438933</v>
      </c>
    </row>
    <row r="121" spans="1:8" x14ac:dyDescent="0.2">
      <c r="A121" s="11"/>
      <c r="B121" s="11">
        <v>0.10299999999999999</v>
      </c>
      <c r="C121">
        <f t="shared" si="14"/>
        <v>-10.516772438803258</v>
      </c>
      <c r="D121" s="8">
        <f t="shared" si="13"/>
        <v>113.98790511751012</v>
      </c>
      <c r="E121" s="8">
        <f t="shared" si="13"/>
        <v>67.75013936179441</v>
      </c>
      <c r="F121" s="8">
        <f t="shared" si="13"/>
        <v>-64.877414729303496</v>
      </c>
      <c r="G121" s="8">
        <f t="shared" si="13"/>
        <v>70.245170541393009</v>
      </c>
      <c r="H121" s="8">
        <f t="shared" si="13"/>
        <v>340.49034108278602</v>
      </c>
    </row>
    <row r="122" spans="1:8" x14ac:dyDescent="0.2">
      <c r="A122" s="11"/>
      <c r="B122" s="11">
        <v>0.104</v>
      </c>
      <c r="C122">
        <f t="shared" si="14"/>
        <v>-10.688405797101467</v>
      </c>
      <c r="D122" s="8">
        <f t="shared" si="13"/>
        <v>113.15405168790508</v>
      </c>
      <c r="E122" s="8">
        <f t="shared" si="13"/>
        <v>67.104609359080001</v>
      </c>
      <c r="F122" s="8">
        <f t="shared" si="13"/>
        <v>-65.366324532348017</v>
      </c>
      <c r="G122" s="8">
        <f t="shared" si="13"/>
        <v>69.267350935303966</v>
      </c>
      <c r="H122" s="8">
        <f t="shared" si="13"/>
        <v>338.53470187060793</v>
      </c>
    </row>
    <row r="123" spans="1:8" x14ac:dyDescent="0.2">
      <c r="A123" s="11"/>
      <c r="B123" s="11">
        <v>0.105</v>
      </c>
      <c r="C123">
        <f t="shared" si="14"/>
        <v>-10.85972850678732</v>
      </c>
      <c r="D123" s="8">
        <f t="shared" si="13"/>
        <v>112.32333459116103</v>
      </c>
      <c r="E123" s="8">
        <f t="shared" si="13"/>
        <v>66.461524808730076</v>
      </c>
      <c r="F123" s="8">
        <f t="shared" si="13"/>
        <v>-65.853025075552011</v>
      </c>
      <c r="G123" s="8">
        <f t="shared" si="13"/>
        <v>68.293949848895977</v>
      </c>
      <c r="H123" s="8">
        <f t="shared" si="13"/>
        <v>336.58789969779195</v>
      </c>
    </row>
    <row r="124" spans="1:8" x14ac:dyDescent="0.2">
      <c r="A124" s="11"/>
      <c r="B124" s="11">
        <v>0.106</v>
      </c>
      <c r="C124">
        <f t="shared" si="14"/>
        <v>-11.030741410488275</v>
      </c>
      <c r="D124" s="8">
        <f t="shared" si="13"/>
        <v>111.4957387780468</v>
      </c>
      <c r="E124" s="8">
        <f t="shared" si="13"/>
        <v>65.820873714799532</v>
      </c>
      <c r="F124" s="8">
        <f t="shared" si="13"/>
        <v>-66.337528327800499</v>
      </c>
      <c r="G124" s="8">
        <f t="shared" si="13"/>
        <v>67.324943344399003</v>
      </c>
      <c r="H124" s="8">
        <f t="shared" si="13"/>
        <v>334.64988668879801</v>
      </c>
    </row>
    <row r="125" spans="1:8" x14ac:dyDescent="0.2">
      <c r="A125" s="11"/>
      <c r="B125" s="11">
        <v>0.107</v>
      </c>
      <c r="C125">
        <f t="shared" si="14"/>
        <v>-11.201445347786802</v>
      </c>
      <c r="D125" s="8">
        <f t="shared" si="13"/>
        <v>110.67124928652251</v>
      </c>
      <c r="E125" s="8">
        <f t="shared" si="13"/>
        <v>65.182644152412422</v>
      </c>
      <c r="F125" s="8">
        <f t="shared" si="13"/>
        <v>-66.819846182396844</v>
      </c>
      <c r="G125" s="8">
        <f t="shared" si="13"/>
        <v>66.360307635206311</v>
      </c>
      <c r="H125" s="8">
        <f t="shared" si="13"/>
        <v>332.72061527041262</v>
      </c>
    </row>
    <row r="126" spans="1:8" x14ac:dyDescent="0.2">
      <c r="A126" s="11"/>
      <c r="B126" s="11">
        <v>0.108</v>
      </c>
      <c r="C126">
        <f t="shared" si="14"/>
        <v>-11.371841155234677</v>
      </c>
      <c r="D126" s="8">
        <f t="shared" si="13"/>
        <v>109.84985124114901</v>
      </c>
      <c r="E126" s="8">
        <f t="shared" si="13"/>
        <v>64.546824267270821</v>
      </c>
      <c r="F126" s="8">
        <f t="shared" si="13"/>
        <v>-67.299990457608203</v>
      </c>
      <c r="G126" s="8">
        <f t="shared" si="13"/>
        <v>65.400019084783594</v>
      </c>
      <c r="H126" s="8">
        <f t="shared" si="13"/>
        <v>330.80003816956719</v>
      </c>
    </row>
    <row r="127" spans="1:8" x14ac:dyDescent="0.2">
      <c r="A127" s="11"/>
      <c r="B127" s="11">
        <v>0.109</v>
      </c>
      <c r="C127">
        <f t="shared" si="14"/>
        <v>-11.541929666366087</v>
      </c>
      <c r="D127" s="8">
        <f t="shared" si="13"/>
        <v>109.03152985250415</v>
      </c>
      <c r="E127" s="8">
        <f t="shared" si="13"/>
        <v>63.913402275169787</v>
      </c>
      <c r="F127" s="8">
        <f t="shared" si="13"/>
        <v>-67.777972897205387</v>
      </c>
      <c r="G127" s="8">
        <f t="shared" si="13"/>
        <v>64.444054205589225</v>
      </c>
      <c r="H127" s="8">
        <f t="shared" si="13"/>
        <v>328.88810841117845</v>
      </c>
    </row>
    <row r="128" spans="1:8" x14ac:dyDescent="0.2">
      <c r="A128" s="11"/>
      <c r="B128" s="11">
        <v>0.11</v>
      </c>
      <c r="C128">
        <f t="shared" si="14"/>
        <v>-11.711711711711729</v>
      </c>
      <c r="D128" s="8">
        <f t="shared" si="13"/>
        <v>108.21627041660071</v>
      </c>
      <c r="E128" s="8">
        <f t="shared" si="13"/>
        <v>63.282366461513412</v>
      </c>
      <c r="F128" s="8">
        <f t="shared" si="13"/>
        <v>-68.253805170999982</v>
      </c>
      <c r="G128" s="8">
        <f t="shared" si="13"/>
        <v>63.492389658000036</v>
      </c>
      <c r="H128" s="8">
        <f t="shared" si="13"/>
        <v>326.98477931600007</v>
      </c>
    </row>
    <row r="129" spans="1:8" x14ac:dyDescent="0.2">
      <c r="A129" s="11"/>
      <c r="B129" s="11">
        <v>0.111</v>
      </c>
      <c r="C129">
        <f t="shared" si="14"/>
        <v>-11.881188118811878</v>
      </c>
      <c r="D129" s="8">
        <f t="shared" si="13"/>
        <v>107.40405831431181</v>
      </c>
      <c r="E129" s="8">
        <f t="shared" si="13"/>
        <v>62.653705180837612</v>
      </c>
      <c r="F129" s="8">
        <f t="shared" si="13"/>
        <v>-68.727498875375147</v>
      </c>
      <c r="G129" s="8">
        <f t="shared" si="13"/>
        <v>62.545002249249706</v>
      </c>
      <c r="H129" s="8">
        <f t="shared" si="13"/>
        <v>325.09000449849941</v>
      </c>
    </row>
    <row r="130" spans="1:8" x14ac:dyDescent="0.2">
      <c r="A130" s="11"/>
      <c r="B130" s="11">
        <v>0.112</v>
      </c>
      <c r="C130">
        <f t="shared" si="14"/>
        <v>-12.050359712230232</v>
      </c>
      <c r="D130" s="8">
        <f t="shared" si="13"/>
        <v>106.59487901079802</v>
      </c>
      <c r="E130" s="8">
        <f t="shared" si="13"/>
        <v>62.027406856333862</v>
      </c>
      <c r="F130" s="8">
        <f t="shared" si="13"/>
        <v>-69.199065533814093</v>
      </c>
      <c r="G130" s="8">
        <f t="shared" si="13"/>
        <v>61.601868932371815</v>
      </c>
      <c r="H130" s="8">
        <f t="shared" si="13"/>
        <v>323.20373786474363</v>
      </c>
    </row>
    <row r="131" spans="1:8" x14ac:dyDescent="0.2">
      <c r="A131" s="11"/>
      <c r="B131" s="11">
        <v>0.113</v>
      </c>
      <c r="C131">
        <f t="shared" si="14"/>
        <v>-12.219227313566932</v>
      </c>
      <c r="D131" s="8">
        <f t="shared" si="13"/>
        <v>105.78871805494144</v>
      </c>
      <c r="E131" s="8">
        <f t="shared" si="13"/>
        <v>61.403459979379122</v>
      </c>
      <c r="F131" s="8">
        <f t="shared" si="13"/>
        <v>-69.668516597422581</v>
      </c>
      <c r="G131" s="8">
        <f t="shared" si="13"/>
        <v>60.662966805154838</v>
      </c>
      <c r="H131" s="8">
        <f t="shared" si="13"/>
        <v>321.32593361030968</v>
      </c>
    </row>
    <row r="132" spans="1:8" x14ac:dyDescent="0.2">
      <c r="A132" s="11"/>
      <c r="B132" s="11">
        <v>0.114</v>
      </c>
      <c r="C132">
        <f t="shared" si="14"/>
        <v>-12.387791741472199</v>
      </c>
      <c r="D132" s="8">
        <f t="shared" si="13"/>
        <v>104.98556107878126</v>
      </c>
      <c r="E132" s="8">
        <f t="shared" si="13"/>
        <v>60.781853109067043</v>
      </c>
      <c r="F132" s="8">
        <f t="shared" si="13"/>
        <v>-70.135863445448763</v>
      </c>
      <c r="G132" s="8">
        <f t="shared" si="13"/>
        <v>59.728273109102474</v>
      </c>
      <c r="H132" s="8">
        <f t="shared" si="13"/>
        <v>319.45654621820495</v>
      </c>
    </row>
    <row r="133" spans="1:8" x14ac:dyDescent="0.2">
      <c r="A133" s="11"/>
      <c r="B133" s="11">
        <v>0.115</v>
      </c>
      <c r="C133">
        <f t="shared" si="14"/>
        <v>-12.556053811659183</v>
      </c>
      <c r="D133" s="8">
        <f t="shared" si="13"/>
        <v>104.18539379695665</v>
      </c>
      <c r="E133" s="8">
        <f t="shared" si="13"/>
        <v>60.162574871745242</v>
      </c>
      <c r="F133" s="8">
        <f t="shared" si="13"/>
        <v>-70.601117385797295</v>
      </c>
      <c r="G133" s="8">
        <f t="shared" si="13"/>
        <v>58.79776522840541</v>
      </c>
      <c r="H133" s="8">
        <f t="shared" si="13"/>
        <v>317.59553045681082</v>
      </c>
    </row>
    <row r="134" spans="1:8" x14ac:dyDescent="0.2">
      <c r="A134" s="11"/>
      <c r="B134" s="11">
        <v>0.11600000000000001</v>
      </c>
      <c r="C134">
        <f t="shared" si="14"/>
        <v>-12.724014336917577</v>
      </c>
      <c r="D134" s="8">
        <f t="shared" ref="D134:H184" si="15">$D$5+(D$6/(1+$B134))+(D$7/(1+$B134)^2)+(D$8/(1+$B134)^3)+(D$9/(1+$B134)^4)</f>
        <v>103.38820200615137</v>
      </c>
      <c r="E134" s="8">
        <f t="shared" si="15"/>
        <v>59.545613960553979</v>
      </c>
      <c r="F134" s="8">
        <f t="shared" si="15"/>
        <v>-71.064289655540705</v>
      </c>
      <c r="G134" s="8">
        <f t="shared" si="15"/>
        <v>57.87142068891859</v>
      </c>
      <c r="H134" s="8">
        <f t="shared" si="15"/>
        <v>315.74284137783718</v>
      </c>
    </row>
    <row r="135" spans="1:8" x14ac:dyDescent="0.2">
      <c r="A135" s="11"/>
      <c r="B135" s="11">
        <v>0.11700000000000001</v>
      </c>
      <c r="C135">
        <f t="shared" si="14"/>
        <v>-12.891674127126237</v>
      </c>
      <c r="D135" s="8">
        <f t="shared" si="15"/>
        <v>102.59397158454475</v>
      </c>
      <c r="E135" s="8">
        <f t="shared" si="15"/>
        <v>58.930959134970429</v>
      </c>
      <c r="F135" s="8">
        <f t="shared" si="15"/>
        <v>-71.525391421425468</v>
      </c>
      <c r="G135" s="8">
        <f t="shared" si="15"/>
        <v>56.949217157149064</v>
      </c>
      <c r="H135" s="8">
        <f t="shared" si="15"/>
        <v>313.89843431429813</v>
      </c>
    </row>
    <row r="136" spans="1:8" x14ac:dyDescent="0.2">
      <c r="A136" s="11"/>
      <c r="B136" s="11">
        <v>0.11799999999999999</v>
      </c>
      <c r="C136">
        <f t="shared" si="14"/>
        <v>-13.059033989266538</v>
      </c>
      <c r="D136" s="8">
        <f t="shared" si="15"/>
        <v>101.80268849126472</v>
      </c>
      <c r="E136" s="8">
        <f t="shared" si="15"/>
        <v>58.318599220354393</v>
      </c>
      <c r="F136" s="8">
        <f t="shared" si="15"/>
        <v>-71.984433780375127</v>
      </c>
      <c r="G136" s="8">
        <f t="shared" si="15"/>
        <v>56.031132439249745</v>
      </c>
      <c r="H136" s="8">
        <f t="shared" si="15"/>
        <v>312.06226487849949</v>
      </c>
    </row>
    <row r="137" spans="1:8" x14ac:dyDescent="0.2">
      <c r="A137" s="11"/>
      <c r="B137" s="11">
        <v>0.11899999999999999</v>
      </c>
      <c r="C137">
        <f t="shared" si="14"/>
        <v>-13.226094727435196</v>
      </c>
      <c r="D137" s="8">
        <f t="shared" si="15"/>
        <v>101.01433876584677</v>
      </c>
      <c r="E137" s="8">
        <f t="shared" si="15"/>
        <v>57.708523107499353</v>
      </c>
      <c r="F137" s="8">
        <f t="shared" si="15"/>
        <v>-72.441427759988429</v>
      </c>
      <c r="G137" s="8">
        <f t="shared" si="15"/>
        <v>55.117144480023143</v>
      </c>
      <c r="H137" s="8">
        <f t="shared" si="15"/>
        <v>310.23428896004629</v>
      </c>
    </row>
    <row r="138" spans="1:8" x14ac:dyDescent="0.2">
      <c r="A138" s="11"/>
      <c r="B138" s="11">
        <v>0.12</v>
      </c>
      <c r="C138">
        <f t="shared" si="14"/>
        <v>-13.392857142857167</v>
      </c>
      <c r="D138" s="8">
        <f t="shared" si="15"/>
        <v>100.22890852769673</v>
      </c>
      <c r="E138" s="8">
        <f t="shared" si="15"/>
        <v>57.100719752186542</v>
      </c>
      <c r="F138" s="8">
        <f t="shared" si="15"/>
        <v>-72.896384319033771</v>
      </c>
      <c r="G138" s="8">
        <f t="shared" si="15"/>
        <v>54.207231361932458</v>
      </c>
      <c r="H138" s="8">
        <f t="shared" si="15"/>
        <v>308.41446272386492</v>
      </c>
    </row>
    <row r="139" spans="1:8" x14ac:dyDescent="0.2">
      <c r="A139" s="11"/>
      <c r="B139" s="11">
        <v>0.121</v>
      </c>
      <c r="C139">
        <f t="shared" si="14"/>
        <v>-13.559322033898297</v>
      </c>
      <c r="D139" s="8">
        <f t="shared" si="15"/>
        <v>99.446383975556813</v>
      </c>
      <c r="E139" s="8">
        <f t="shared" si="15"/>
        <v>56.495178174741604</v>
      </c>
      <c r="F139" s="8">
        <f t="shared" si="15"/>
        <v>-73.349314347939952</v>
      </c>
      <c r="G139" s="8">
        <f t="shared" si="15"/>
        <v>53.301371304120096</v>
      </c>
      <c r="H139" s="8">
        <f t="shared" si="15"/>
        <v>306.60274260824019</v>
      </c>
    </row>
    <row r="140" spans="1:8" x14ac:dyDescent="0.2">
      <c r="A140" s="11"/>
      <c r="B140" s="11">
        <v>0.122</v>
      </c>
      <c r="C140">
        <f t="shared" si="14"/>
        <v>-13.725490196078425</v>
      </c>
      <c r="D140" s="8">
        <f t="shared" si="15"/>
        <v>98.666751386976117</v>
      </c>
      <c r="E140" s="8">
        <f t="shared" si="15"/>
        <v>55.891887459595566</v>
      </c>
      <c r="F140" s="8">
        <f t="shared" si="15"/>
        <v>-73.800228669282887</v>
      </c>
      <c r="G140" s="8">
        <f t="shared" si="15"/>
        <v>52.399542661434225</v>
      </c>
      <c r="H140" s="8">
        <f t="shared" si="15"/>
        <v>304.79908532286845</v>
      </c>
    </row>
    <row r="141" spans="1:8" x14ac:dyDescent="0.2">
      <c r="A141" s="11"/>
      <c r="B141" s="11">
        <v>0.123</v>
      </c>
      <c r="C141">
        <f t="shared" si="14"/>
        <v>-13.891362422083716</v>
      </c>
      <c r="D141" s="8">
        <f t="shared" si="15"/>
        <v>97.889997117785555</v>
      </c>
      <c r="E141" s="8">
        <f t="shared" si="15"/>
        <v>55.290836754848861</v>
      </c>
      <c r="F141" s="8">
        <f t="shared" si="15"/>
        <v>-74.249138038268157</v>
      </c>
      <c r="G141" s="8">
        <f t="shared" si="15"/>
        <v>51.501723923463686</v>
      </c>
      <c r="H141" s="8">
        <f t="shared" si="15"/>
        <v>303.00344784692737</v>
      </c>
    </row>
    <row r="142" spans="1:8" x14ac:dyDescent="0.2">
      <c r="A142" s="11"/>
      <c r="B142" s="11">
        <v>0.124</v>
      </c>
      <c r="C142">
        <f t="shared" si="14"/>
        <v>-14.056939501779368</v>
      </c>
      <c r="D142" s="8">
        <f t="shared" si="15"/>
        <v>97.116107601576786</v>
      </c>
      <c r="E142" s="8">
        <f t="shared" si="15"/>
        <v>54.692015271839374</v>
      </c>
      <c r="F142" s="8">
        <f t="shared" si="15"/>
        <v>-74.696053143209738</v>
      </c>
      <c r="G142" s="8">
        <f t="shared" si="15"/>
        <v>50.607893713580523</v>
      </c>
      <c r="H142" s="8">
        <f t="shared" si="15"/>
        <v>301.21578742716105</v>
      </c>
    </row>
    <row r="143" spans="1:8" x14ac:dyDescent="0.2">
      <c r="A143" s="11"/>
      <c r="B143" s="11">
        <v>0.125</v>
      </c>
      <c r="C143">
        <f t="shared" si="14"/>
        <v>-14.222222222222229</v>
      </c>
      <c r="D143" s="8">
        <f t="shared" si="15"/>
        <v>96.34506934918457</v>
      </c>
      <c r="E143" s="8">
        <f t="shared" si="15"/>
        <v>54.095412284712694</v>
      </c>
      <c r="F143" s="8">
        <f t="shared" si="15"/>
        <v>-75.140984606005176</v>
      </c>
      <c r="G143" s="8">
        <f t="shared" si="15"/>
        <v>49.718030787989647</v>
      </c>
      <c r="H143" s="8">
        <f t="shared" si="15"/>
        <v>299.43606157597929</v>
      </c>
    </row>
    <row r="144" spans="1:8" x14ac:dyDescent="0.2">
      <c r="A144" s="11"/>
      <c r="B144" s="11">
        <v>0.126</v>
      </c>
      <c r="C144">
        <f t="shared" si="14"/>
        <v>-14.38721136767316</v>
      </c>
      <c r="D144" s="8">
        <f t="shared" si="15"/>
        <v>95.576868948172873</v>
      </c>
      <c r="E144" s="8">
        <f t="shared" si="15"/>
        <v>53.501017129996342</v>
      </c>
      <c r="F144" s="8">
        <f t="shared" si="15"/>
        <v>-75.583942982607113</v>
      </c>
      <c r="G144" s="8">
        <f t="shared" si="15"/>
        <v>48.832114034785775</v>
      </c>
      <c r="H144" s="8">
        <f t="shared" si="15"/>
        <v>297.66422806957155</v>
      </c>
    </row>
    <row r="145" spans="1:8" x14ac:dyDescent="0.2">
      <c r="A145" s="11"/>
      <c r="B145" s="11">
        <v>0.127</v>
      </c>
      <c r="C145">
        <f t="shared" si="14"/>
        <v>-14.551907719609574</v>
      </c>
      <c r="D145" s="8">
        <f t="shared" si="15"/>
        <v>94.811493062325681</v>
      </c>
      <c r="E145" s="8">
        <f t="shared" si="15"/>
        <v>52.908819206177199</v>
      </c>
      <c r="F145" s="8">
        <f t="shared" si="15"/>
        <v>-76.024938763490454</v>
      </c>
      <c r="G145" s="8">
        <f t="shared" si="15"/>
        <v>47.950122473019093</v>
      </c>
      <c r="H145" s="8">
        <f t="shared" si="15"/>
        <v>295.90024494603819</v>
      </c>
    </row>
    <row r="146" spans="1:8" x14ac:dyDescent="0.2">
      <c r="A146" s="11"/>
      <c r="B146" s="11">
        <v>0.128</v>
      </c>
      <c r="C146">
        <f t="shared" si="14"/>
        <v>-14.716312056737621</v>
      </c>
      <c r="D146" s="8">
        <f t="shared" si="15"/>
        <v>94.048928431141732</v>
      </c>
      <c r="E146" s="8">
        <f t="shared" si="15"/>
        <v>52.318807973282738</v>
      </c>
      <c r="F146" s="8">
        <f t="shared" si="15"/>
        <v>-76.463982374116014</v>
      </c>
      <c r="G146" s="8">
        <f t="shared" si="15"/>
        <v>47.072035251767971</v>
      </c>
      <c r="H146" s="8">
        <f t="shared" si="15"/>
        <v>294.14407050353594</v>
      </c>
    </row>
    <row r="147" spans="1:8" x14ac:dyDescent="0.2">
      <c r="A147" s="11"/>
      <c r="B147" s="11">
        <v>0.129</v>
      </c>
      <c r="C147">
        <f t="shared" si="14"/>
        <v>-14.880425155004417</v>
      </c>
      <c r="D147" s="8">
        <f t="shared" si="15"/>
        <v>93.289161869332005</v>
      </c>
      <c r="E147" s="8">
        <f t="shared" si="15"/>
        <v>51.730972952464327</v>
      </c>
      <c r="F147" s="8">
        <f t="shared" si="15"/>
        <v>-76.901084175390821</v>
      </c>
      <c r="G147" s="8">
        <f t="shared" si="15"/>
        <v>46.197831649218358</v>
      </c>
      <c r="H147" s="8">
        <f t="shared" si="15"/>
        <v>292.39566329843672</v>
      </c>
    </row>
    <row r="148" spans="1:8" x14ac:dyDescent="0.2">
      <c r="A148" s="11"/>
      <c r="B148" s="11">
        <v>0.13</v>
      </c>
      <c r="C148">
        <f t="shared" ref="C148:C211" si="16">$C$5+$C$6/(1+$B148)</f>
        <v>-15.044247787610601</v>
      </c>
      <c r="D148" s="8">
        <f t="shared" si="15"/>
        <v>92.532180266321618</v>
      </c>
      <c r="E148" s="8">
        <f t="shared" si="15"/>
        <v>51.145303725584462</v>
      </c>
      <c r="F148" s="8">
        <f t="shared" si="15"/>
        <v>-77.336254464124636</v>
      </c>
      <c r="G148" s="8">
        <f t="shared" si="15"/>
        <v>45.327491071750728</v>
      </c>
      <c r="H148" s="8">
        <f t="shared" si="15"/>
        <v>290.65498214350146</v>
      </c>
    </row>
    <row r="149" spans="1:8" x14ac:dyDescent="0.2">
      <c r="A149" s="11"/>
      <c r="B149" s="11">
        <v>0.13100000000000001</v>
      </c>
      <c r="C149">
        <f t="shared" si="16"/>
        <v>-15.207780725022104</v>
      </c>
      <c r="D149" s="8">
        <f t="shared" si="15"/>
        <v>91.777970585755668</v>
      </c>
      <c r="E149" s="8">
        <f t="shared" si="15"/>
        <v>50.561789934807059</v>
      </c>
      <c r="F149" s="8">
        <f t="shared" si="15"/>
        <v>-77.769503473482558</v>
      </c>
      <c r="G149" s="8">
        <f t="shared" si="15"/>
        <v>44.460993053034883</v>
      </c>
      <c r="H149" s="8">
        <f t="shared" si="15"/>
        <v>288.92198610606977</v>
      </c>
    </row>
    <row r="150" spans="1:8" x14ac:dyDescent="0.2">
      <c r="A150" s="11"/>
      <c r="B150" s="11">
        <v>0.13200000000000001</v>
      </c>
      <c r="C150">
        <f t="shared" si="16"/>
        <v>-15.371024734982342</v>
      </c>
      <c r="D150" s="8">
        <f t="shared" si="15"/>
        <v>91.026519865009021</v>
      </c>
      <c r="E150" s="8">
        <f t="shared" si="15"/>
        <v>49.980421282191251</v>
      </c>
      <c r="F150" s="8">
        <f t="shared" si="15"/>
        <v>-78.200841373434088</v>
      </c>
      <c r="G150" s="8">
        <f t="shared" si="15"/>
        <v>43.598317253131825</v>
      </c>
      <c r="H150" s="8">
        <f t="shared" si="15"/>
        <v>287.19663450626365</v>
      </c>
    </row>
    <row r="151" spans="1:8" x14ac:dyDescent="0.2">
      <c r="A151" s="11"/>
      <c r="B151" s="11">
        <v>0.13300000000000001</v>
      </c>
      <c r="C151">
        <f t="shared" si="16"/>
        <v>-15.533980582524265</v>
      </c>
      <c r="D151" s="8">
        <f t="shared" si="15"/>
        <v>90.277815214699103</v>
      </c>
      <c r="E151" s="8">
        <f t="shared" si="15"/>
        <v>49.40118752928786</v>
      </c>
      <c r="F151" s="8">
        <f t="shared" si="15"/>
        <v>-78.630278271198861</v>
      </c>
      <c r="G151" s="8">
        <f t="shared" si="15"/>
        <v>42.739443457602277</v>
      </c>
      <c r="H151" s="8">
        <f t="shared" si="15"/>
        <v>285.47888691520455</v>
      </c>
    </row>
    <row r="152" spans="1:8" x14ac:dyDescent="0.2">
      <c r="A152" s="11"/>
      <c r="B152" s="11">
        <v>0.13400000000000001</v>
      </c>
      <c r="C152">
        <f t="shared" si="16"/>
        <v>-15.696649029982353</v>
      </c>
      <c r="D152" s="8">
        <f t="shared" si="15"/>
        <v>89.531843818202276</v>
      </c>
      <c r="E152" s="8">
        <f t="shared" si="15"/>
        <v>48.824078496738402</v>
      </c>
      <c r="F152" s="8">
        <f t="shared" si="15"/>
        <v>-79.057824211688995</v>
      </c>
      <c r="G152" s="8">
        <f t="shared" si="15"/>
        <v>41.884351576622009</v>
      </c>
      <c r="H152" s="8">
        <f t="shared" si="15"/>
        <v>283.76870315324402</v>
      </c>
    </row>
    <row r="153" spans="1:8" x14ac:dyDescent="0.2">
      <c r="A153" s="11"/>
      <c r="B153" s="11">
        <v>0.13500000000000001</v>
      </c>
      <c r="C153">
        <f t="shared" si="16"/>
        <v>-15.859030837004411</v>
      </c>
      <c r="D153" s="8">
        <f t="shared" si="15"/>
        <v>88.788592931174648</v>
      </c>
      <c r="E153" s="8">
        <f t="shared" si="15"/>
        <v>48.249084063878406</v>
      </c>
      <c r="F153" s="8">
        <f t="shared" si="15"/>
        <v>-79.483489177947433</v>
      </c>
      <c r="G153" s="8">
        <f t="shared" si="15"/>
        <v>41.033021644105133</v>
      </c>
      <c r="H153" s="8">
        <f t="shared" si="15"/>
        <v>282.06604328821027</v>
      </c>
    </row>
    <row r="154" spans="1:8" x14ac:dyDescent="0.2">
      <c r="A154" s="11"/>
      <c r="B154" s="11">
        <v>0.13600000000000001</v>
      </c>
      <c r="C154">
        <f t="shared" si="16"/>
        <v>-16.021126760563391</v>
      </c>
      <c r="D154" s="8">
        <f t="shared" si="15"/>
        <v>88.048049881076238</v>
      </c>
      <c r="E154" s="8">
        <f t="shared" si="15"/>
        <v>47.676194168343201</v>
      </c>
      <c r="F154" s="8">
        <f t="shared" si="15"/>
        <v>-79.907283091583011</v>
      </c>
      <c r="G154" s="8">
        <f t="shared" si="15"/>
        <v>40.185433816833978</v>
      </c>
      <c r="H154" s="8">
        <f t="shared" si="15"/>
        <v>280.37086763366796</v>
      </c>
    </row>
    <row r="155" spans="1:8" x14ac:dyDescent="0.2">
      <c r="A155" s="11"/>
      <c r="B155" s="11">
        <v>0.13700000000000001</v>
      </c>
      <c r="C155">
        <f t="shared" si="16"/>
        <v>-16.182937554969214</v>
      </c>
      <c r="D155" s="8">
        <f t="shared" si="15"/>
        <v>87.310202066698636</v>
      </c>
      <c r="E155" s="8">
        <f t="shared" si="15"/>
        <v>47.105398805676671</v>
      </c>
      <c r="F155" s="8">
        <f t="shared" si="15"/>
        <v>-80.329215813202154</v>
      </c>
      <c r="G155" s="8">
        <f t="shared" si="15"/>
        <v>39.341568373595692</v>
      </c>
      <c r="H155" s="8">
        <f t="shared" si="15"/>
        <v>278.68313674719138</v>
      </c>
    </row>
    <row r="156" spans="1:8" x14ac:dyDescent="0.2">
      <c r="A156" s="11"/>
      <c r="B156" s="11">
        <v>0.13800000000000001</v>
      </c>
      <c r="C156">
        <f t="shared" si="16"/>
        <v>-16.344463971880486</v>
      </c>
      <c r="D156" s="8">
        <f t="shared" si="15"/>
        <v>86.575036957695389</v>
      </c>
      <c r="E156" s="8">
        <f t="shared" si="15"/>
        <v>46.536688028942471</v>
      </c>
      <c r="F156" s="8">
        <f t="shared" si="15"/>
        <v>-80.749297142837406</v>
      </c>
      <c r="G156" s="8">
        <f t="shared" si="15"/>
        <v>38.501405714325188</v>
      </c>
      <c r="H156" s="8">
        <f t="shared" si="15"/>
        <v>277.00281142865038</v>
      </c>
    </row>
    <row r="157" spans="1:8" x14ac:dyDescent="0.2">
      <c r="A157" s="11"/>
      <c r="B157" s="11">
        <v>0.13900000000000001</v>
      </c>
      <c r="C157">
        <f t="shared" si="16"/>
        <v>-16.505706760316059</v>
      </c>
      <c r="D157" s="8">
        <f t="shared" si="15"/>
        <v>85.842542094117292</v>
      </c>
      <c r="E157" s="8">
        <f t="shared" si="15"/>
        <v>45.970051948339254</v>
      </c>
      <c r="F157" s="8">
        <f t="shared" si="15"/>
        <v>-81.167536820372163</v>
      </c>
      <c r="G157" s="8">
        <f t="shared" si="15"/>
        <v>37.664926359255674</v>
      </c>
      <c r="H157" s="8">
        <f t="shared" si="15"/>
        <v>275.32985271851135</v>
      </c>
    </row>
    <row r="158" spans="1:8" x14ac:dyDescent="0.2">
      <c r="A158" s="11"/>
      <c r="B158" s="11">
        <v>0.14000000000000001</v>
      </c>
      <c r="C158">
        <f t="shared" si="16"/>
        <v>-16.666666666666686</v>
      </c>
      <c r="D158" s="8">
        <f t="shared" si="15"/>
        <v>85.112705085950537</v>
      </c>
      <c r="E158" s="8">
        <f t="shared" si="15"/>
        <v>45.405480730818333</v>
      </c>
      <c r="F158" s="8">
        <f t="shared" si="15"/>
        <v>-81.58394452596211</v>
      </c>
      <c r="G158" s="8">
        <f t="shared" si="15"/>
        <v>36.83211094807578</v>
      </c>
      <c r="H158" s="8">
        <f t="shared" si="15"/>
        <v>273.66422189615156</v>
      </c>
    </row>
    <row r="159" spans="1:8" x14ac:dyDescent="0.2">
      <c r="A159" s="11"/>
      <c r="B159" s="11">
        <v>0.14099999999999999</v>
      </c>
      <c r="C159">
        <f t="shared" si="16"/>
        <v>-16.82734443470639</v>
      </c>
      <c r="D159" s="8">
        <f t="shared" si="15"/>
        <v>84.385513612658386</v>
      </c>
      <c r="E159" s="8">
        <f t="shared" si="15"/>
        <v>44.84296459970426</v>
      </c>
      <c r="F159" s="8">
        <f t="shared" si="15"/>
        <v>-81.998529880453361</v>
      </c>
      <c r="G159" s="8">
        <f t="shared" si="15"/>
        <v>36.002940239093277</v>
      </c>
      <c r="H159" s="8">
        <f t="shared" si="15"/>
        <v>272.00588047818655</v>
      </c>
    </row>
    <row r="160" spans="1:8" x14ac:dyDescent="0.2">
      <c r="A160" s="11"/>
      <c r="B160" s="11">
        <v>0.14199999999999999</v>
      </c>
      <c r="C160">
        <f t="shared" si="16"/>
        <v>-16.987740805604176</v>
      </c>
      <c r="D160" s="8">
        <f t="shared" si="15"/>
        <v>83.660955422725536</v>
      </c>
      <c r="E160" s="8">
        <f t="shared" si="15"/>
        <v>44.282493834317762</v>
      </c>
      <c r="F160" s="8">
        <f t="shared" si="15"/>
        <v>-82.411302445797887</v>
      </c>
      <c r="G160" s="8">
        <f t="shared" si="15"/>
        <v>35.177395108404227</v>
      </c>
      <c r="H160" s="8">
        <f t="shared" si="15"/>
        <v>270.35479021680845</v>
      </c>
    </row>
    <row r="161" spans="1:8" x14ac:dyDescent="0.2">
      <c r="A161" s="11"/>
      <c r="B161" s="11">
        <v>0.14299999999999999</v>
      </c>
      <c r="C161">
        <f t="shared" si="16"/>
        <v>-17.147856517935253</v>
      </c>
      <c r="D161" s="8">
        <f t="shared" si="15"/>
        <v>82.939018333207088</v>
      </c>
      <c r="E161" s="8">
        <f t="shared" si="15"/>
        <v>43.724058769602514</v>
      </c>
      <c r="F161" s="8">
        <f t="shared" si="15"/>
        <v>-82.822271725464773</v>
      </c>
      <c r="G161" s="8">
        <f t="shared" si="15"/>
        <v>34.355456549070453</v>
      </c>
      <c r="H161" s="8">
        <f t="shared" si="15"/>
        <v>268.71091309814091</v>
      </c>
    </row>
    <row r="162" spans="1:8" x14ac:dyDescent="0.2">
      <c r="A162" s="11"/>
      <c r="B162" s="11">
        <v>0.14399999999999999</v>
      </c>
      <c r="C162">
        <f t="shared" si="16"/>
        <v>-17.307692307692292</v>
      </c>
      <c r="D162" s="8">
        <f t="shared" si="15"/>
        <v>82.21969022928063</v>
      </c>
      <c r="E162" s="8">
        <f t="shared" si="15"/>
        <v>43.167649795754528</v>
      </c>
      <c r="F162" s="8">
        <f t="shared" si="15"/>
        <v>-83.231447164848532</v>
      </c>
      <c r="G162" s="8">
        <f t="shared" si="15"/>
        <v>33.537105670302935</v>
      </c>
      <c r="H162" s="8">
        <f t="shared" si="15"/>
        <v>267.07421134060587</v>
      </c>
    </row>
    <row r="163" spans="1:8" x14ac:dyDescent="0.2">
      <c r="A163" s="11"/>
      <c r="B163" s="11">
        <v>0.14499999999999999</v>
      </c>
      <c r="C163">
        <f t="shared" si="16"/>
        <v>-17.467248908296938</v>
      </c>
      <c r="D163" s="8">
        <f t="shared" si="15"/>
        <v>81.502959063800347</v>
      </c>
      <c r="E163" s="8">
        <f t="shared" si="15"/>
        <v>42.61325735785325</v>
      </c>
      <c r="F163" s="8">
        <f t="shared" si="15"/>
        <v>-83.638838151674946</v>
      </c>
      <c r="G163" s="8">
        <f t="shared" si="15"/>
        <v>32.722323696650108</v>
      </c>
      <c r="H163" s="8">
        <f t="shared" si="15"/>
        <v>265.44464739330022</v>
      </c>
    </row>
    <row r="164" spans="1:8" x14ac:dyDescent="0.2">
      <c r="A164" s="11"/>
      <c r="B164" s="11">
        <v>0.14599999999999999</v>
      </c>
      <c r="C164">
        <f t="shared" si="16"/>
        <v>-17.626527050610804</v>
      </c>
      <c r="D164" s="8">
        <f t="shared" si="15"/>
        <v>80.78881285685695</v>
      </c>
      <c r="E164" s="8">
        <f t="shared" si="15"/>
        <v>42.060871955497497</v>
      </c>
      <c r="F164" s="8">
        <f t="shared" si="15"/>
        <v>-84.044454016402184</v>
      </c>
      <c r="G164" s="8">
        <f t="shared" si="15"/>
        <v>31.911091967195631</v>
      </c>
      <c r="H164" s="8">
        <f t="shared" si="15"/>
        <v>263.82218393439126</v>
      </c>
    </row>
    <row r="165" spans="1:8" x14ac:dyDescent="0.2">
      <c r="A165" s="11"/>
      <c r="B165" s="11">
        <v>0.14699999999999999</v>
      </c>
      <c r="C165">
        <f t="shared" si="16"/>
        <v>-17.785527462946817</v>
      </c>
      <c r="D165" s="8">
        <f t="shared" si="15"/>
        <v>80.077239695337752</v>
      </c>
      <c r="E165" s="8">
        <f t="shared" si="15"/>
        <v>41.510484142441683</v>
      </c>
      <c r="F165" s="8">
        <f t="shared" si="15"/>
        <v>-84.448304032620754</v>
      </c>
      <c r="G165" s="8">
        <f t="shared" si="15"/>
        <v>31.103391934758491</v>
      </c>
      <c r="H165" s="8">
        <f t="shared" si="15"/>
        <v>262.20678386951698</v>
      </c>
    </row>
    <row r="166" spans="1:8" x14ac:dyDescent="0.2">
      <c r="A166" s="11"/>
      <c r="B166" s="11">
        <v>0.14799999999999999</v>
      </c>
      <c r="C166">
        <f t="shared" si="16"/>
        <v>-17.944250871080129</v>
      </c>
      <c r="D166" s="8">
        <f t="shared" si="15"/>
        <v>79.368227732493253</v>
      </c>
      <c r="E166" s="8">
        <f t="shared" si="15"/>
        <v>40.962084526237291</v>
      </c>
      <c r="F166" s="8">
        <f t="shared" si="15"/>
        <v>-84.850397417448349</v>
      </c>
      <c r="G166" s="8">
        <f t="shared" si="15"/>
        <v>30.299205165103302</v>
      </c>
      <c r="H166" s="8">
        <f t="shared" si="15"/>
        <v>260.5984103302066</v>
      </c>
    </row>
    <row r="167" spans="1:8" x14ac:dyDescent="0.2">
      <c r="A167" s="11"/>
      <c r="B167" s="11">
        <v>0.14899999999999999</v>
      </c>
      <c r="C167">
        <f t="shared" si="16"/>
        <v>-18.102697998259373</v>
      </c>
      <c r="D167" s="8">
        <f t="shared" si="15"/>
        <v>78.661765187504002</v>
      </c>
      <c r="E167" s="8">
        <f t="shared" si="15"/>
        <v>40.415663767874783</v>
      </c>
      <c r="F167" s="8">
        <f t="shared" si="15"/>
        <v>-85.250743331923232</v>
      </c>
      <c r="G167" s="8">
        <f t="shared" si="15"/>
        <v>29.498513336153536</v>
      </c>
      <c r="H167" s="8">
        <f t="shared" si="15"/>
        <v>258.99702667230707</v>
      </c>
    </row>
    <row r="168" spans="1:8" x14ac:dyDescent="0.2">
      <c r="A168" s="11"/>
      <c r="B168" s="11">
        <v>0.15</v>
      </c>
      <c r="C168">
        <f t="shared" si="16"/>
        <v>-18.260869565217376</v>
      </c>
      <c r="D168" s="8">
        <f t="shared" si="15"/>
        <v>77.957840345053157</v>
      </c>
      <c r="E168" s="8">
        <f t="shared" si="15"/>
        <v>39.871212581430235</v>
      </c>
      <c r="F168" s="8">
        <f t="shared" si="15"/>
        <v>-85.649350881393332</v>
      </c>
      <c r="G168" s="8">
        <f t="shared" si="15"/>
        <v>28.701298237213337</v>
      </c>
      <c r="H168" s="8">
        <f t="shared" si="15"/>
        <v>257.40259647442667</v>
      </c>
    </row>
    <row r="169" spans="1:8" x14ac:dyDescent="0.2">
      <c r="A169" s="11"/>
      <c r="B169" s="11">
        <v>0.151</v>
      </c>
      <c r="C169">
        <f t="shared" si="16"/>
        <v>-18.418766290182447</v>
      </c>
      <c r="D169" s="8">
        <f t="shared" si="15"/>
        <v>77.25644155490015</v>
      </c>
      <c r="E169" s="8">
        <f t="shared" si="15"/>
        <v>39.32872173371279</v>
      </c>
      <c r="F169" s="8">
        <f t="shared" si="15"/>
        <v>-86.046229115903216</v>
      </c>
      <c r="G169" s="8">
        <f t="shared" si="15"/>
        <v>27.907541768193568</v>
      </c>
      <c r="H169" s="8">
        <f t="shared" si="15"/>
        <v>255.81508353638714</v>
      </c>
    </row>
    <row r="170" spans="1:8" x14ac:dyDescent="0.2">
      <c r="A170" s="11"/>
      <c r="B170" s="11">
        <v>0.152</v>
      </c>
      <c r="C170">
        <f t="shared" si="16"/>
        <v>-18.576388888888886</v>
      </c>
      <c r="D170" s="8">
        <f t="shared" si="15"/>
        <v>76.557557231459512</v>
      </c>
      <c r="E170" s="8">
        <f t="shared" si="15"/>
        <v>38.788182043916628</v>
      </c>
      <c r="F170" s="8">
        <f t="shared" si="15"/>
        <v>-86.441387030577204</v>
      </c>
      <c r="G170" s="8">
        <f t="shared" si="15"/>
        <v>27.117225938845593</v>
      </c>
      <c r="H170" s="8">
        <f t="shared" si="15"/>
        <v>254.23445187769119</v>
      </c>
    </row>
    <row r="171" spans="1:8" x14ac:dyDescent="0.2">
      <c r="A171" s="11"/>
      <c r="B171" s="11">
        <v>0.153</v>
      </c>
      <c r="C171">
        <f t="shared" si="16"/>
        <v>-18.733738074588047</v>
      </c>
      <c r="D171" s="8">
        <f t="shared" si="15"/>
        <v>75.861175853380445</v>
      </c>
      <c r="E171" s="8">
        <f t="shared" si="15"/>
        <v>38.249584383273472</v>
      </c>
      <c r="F171" s="8">
        <f t="shared" si="15"/>
        <v>-86.834833566000512</v>
      </c>
      <c r="G171" s="8">
        <f t="shared" si="15"/>
        <v>26.330332867998976</v>
      </c>
      <c r="H171" s="8">
        <f t="shared" si="15"/>
        <v>252.66066573599795</v>
      </c>
    </row>
    <row r="172" spans="1:8" x14ac:dyDescent="0.2">
      <c r="A172" s="11"/>
      <c r="B172" s="11">
        <v>0.154</v>
      </c>
      <c r="C172">
        <f t="shared" si="16"/>
        <v>-18.890814558058906</v>
      </c>
      <c r="D172" s="8">
        <f t="shared" si="15"/>
        <v>75.167285963132215</v>
      </c>
      <c r="E172" s="8">
        <f t="shared" si="15"/>
        <v>37.71291967470998</v>
      </c>
      <c r="F172" s="8">
        <f t="shared" si="15"/>
        <v>-87.226577608596173</v>
      </c>
      <c r="G172" s="8">
        <f t="shared" si="15"/>
        <v>25.546844782807653</v>
      </c>
      <c r="H172" s="8">
        <f t="shared" si="15"/>
        <v>251.09368956561531</v>
      </c>
    </row>
    <row r="173" spans="1:8" x14ac:dyDescent="0.2">
      <c r="A173" s="11"/>
      <c r="B173" s="11">
        <v>0.155</v>
      </c>
      <c r="C173">
        <f t="shared" si="16"/>
        <v>-19.047619047619065</v>
      </c>
      <c r="D173" s="8">
        <f t="shared" si="15"/>
        <v>74.475876166590012</v>
      </c>
      <c r="E173" s="8">
        <f t="shared" si="15"/>
        <v>37.178178892505471</v>
      </c>
      <c r="F173" s="8">
        <f t="shared" si="15"/>
        <v>-87.616627991000342</v>
      </c>
      <c r="G173" s="8">
        <f t="shared" si="15"/>
        <v>24.766744017999315</v>
      </c>
      <c r="H173" s="8">
        <f t="shared" si="15"/>
        <v>249.53348803599863</v>
      </c>
    </row>
    <row r="174" spans="1:8" x14ac:dyDescent="0.2">
      <c r="A174" s="11"/>
      <c r="B174" s="11">
        <v>0.156</v>
      </c>
      <c r="C174">
        <f t="shared" si="16"/>
        <v>-19.204152249134921</v>
      </c>
      <c r="D174" s="8">
        <f t="shared" si="15"/>
        <v>73.786935132626056</v>
      </c>
      <c r="E174" s="8">
        <f t="shared" si="15"/>
        <v>36.645353061954367</v>
      </c>
      <c r="F174" s="8">
        <f t="shared" si="15"/>
        <v>-88.004993492433528</v>
      </c>
      <c r="G174" s="8">
        <f t="shared" si="15"/>
        <v>23.990013015132945</v>
      </c>
      <c r="H174" s="8">
        <f t="shared" si="15"/>
        <v>247.98002603026589</v>
      </c>
    </row>
    <row r="175" spans="1:8" x14ac:dyDescent="0.2">
      <c r="A175" s="11"/>
      <c r="B175" s="11">
        <v>0.157</v>
      </c>
      <c r="C175">
        <f t="shared" si="16"/>
        <v>-19.360414866032841</v>
      </c>
      <c r="D175" s="8">
        <f t="shared" si="15"/>
        <v>73.100451592701788</v>
      </c>
      <c r="E175" s="8">
        <f t="shared" si="15"/>
        <v>36.114433259029077</v>
      </c>
      <c r="F175" s="8">
        <f t="shared" si="15"/>
        <v>-88.391682839069858</v>
      </c>
      <c r="G175" s="8">
        <f t="shared" si="15"/>
        <v>23.216634321860283</v>
      </c>
      <c r="H175" s="8">
        <f t="shared" si="15"/>
        <v>246.43326864372057</v>
      </c>
    </row>
    <row r="176" spans="1:8" x14ac:dyDescent="0.2">
      <c r="A176" s="11"/>
      <c r="B176" s="11">
        <v>0.158</v>
      </c>
      <c r="C176">
        <f t="shared" si="16"/>
        <v>-19.516407599309133</v>
      </c>
      <c r="D176" s="8">
        <f t="shared" si="15"/>
        <v>72.416414340465039</v>
      </c>
      <c r="E176" s="8">
        <f t="shared" si="15"/>
        <v>35.585410610047362</v>
      </c>
      <c r="F176" s="8">
        <f t="shared" si="15"/>
        <v>-88.776704704402675</v>
      </c>
      <c r="G176" s="8">
        <f t="shared" si="15"/>
        <v>22.446590591194649</v>
      </c>
      <c r="H176" s="8">
        <f t="shared" si="15"/>
        <v>244.8931811823893</v>
      </c>
    </row>
    <row r="177" spans="1:8" x14ac:dyDescent="0.2">
      <c r="A177" s="11"/>
      <c r="B177" s="11">
        <v>0.159</v>
      </c>
      <c r="C177">
        <f t="shared" si="16"/>
        <v>-19.672131147540995</v>
      </c>
      <c r="D177" s="8">
        <f t="shared" si="15"/>
        <v>71.734812231348116</v>
      </c>
      <c r="E177" s="8">
        <f t="shared" si="15"/>
        <v>35.058276291340526</v>
      </c>
      <c r="F177" s="8">
        <f t="shared" si="15"/>
        <v>-89.160067709608157</v>
      </c>
      <c r="G177" s="8">
        <f t="shared" si="15"/>
        <v>21.679864580783686</v>
      </c>
      <c r="H177" s="8">
        <f t="shared" si="15"/>
        <v>243.35972916156737</v>
      </c>
    </row>
    <row r="178" spans="1:8" x14ac:dyDescent="0.2">
      <c r="A178" s="11"/>
      <c r="B178" s="11">
        <v>0.16</v>
      </c>
      <c r="C178">
        <f t="shared" si="16"/>
        <v>-19.827586206896541</v>
      </c>
      <c r="D178" s="8">
        <f t="shared" si="15"/>
        <v>71.055634182170905</v>
      </c>
      <c r="E178" s="8">
        <f t="shared" si="15"/>
        <v>34.533021528925602</v>
      </c>
      <c r="F178" s="8">
        <f t="shared" si="15"/>
        <v>-89.541780423905053</v>
      </c>
      <c r="G178" s="8">
        <f t="shared" si="15"/>
        <v>20.916439152189895</v>
      </c>
      <c r="H178" s="8">
        <f t="shared" si="15"/>
        <v>241.83287830437979</v>
      </c>
    </row>
    <row r="179" spans="1:8" x14ac:dyDescent="0.2">
      <c r="A179" s="11"/>
      <c r="B179" s="11">
        <v>0.161</v>
      </c>
      <c r="C179">
        <f t="shared" si="16"/>
        <v>-19.982773471145578</v>
      </c>
      <c r="D179" s="8">
        <f t="shared" si="15"/>
        <v>70.378869170744693</v>
      </c>
      <c r="E179" s="8">
        <f t="shared" si="15"/>
        <v>34.009637598178202</v>
      </c>
      <c r="F179" s="8">
        <f t="shared" si="15"/>
        <v>-89.921851364912996</v>
      </c>
      <c r="G179" s="8">
        <f t="shared" si="15"/>
        <v>20.156297270174008</v>
      </c>
      <c r="H179" s="8">
        <f t="shared" si="15"/>
        <v>240.31259454034802</v>
      </c>
    </row>
    <row r="180" spans="1:8" x14ac:dyDescent="0.2">
      <c r="A180" s="11"/>
      <c r="B180" s="11">
        <v>0.16200000000000001</v>
      </c>
      <c r="C180">
        <f t="shared" si="16"/>
        <v>-20.137693631669521</v>
      </c>
      <c r="D180" s="8">
        <f t="shared" si="15"/>
        <v>69.704506235481318</v>
      </c>
      <c r="E180" s="8">
        <f t="shared" si="15"/>
        <v>33.488115823510071</v>
      </c>
      <c r="F180" s="8">
        <f t="shared" si="15"/>
        <v>-90.300288999006511</v>
      </c>
      <c r="G180" s="8">
        <f t="shared" si="15"/>
        <v>19.399422001986977</v>
      </c>
      <c r="H180" s="8">
        <f t="shared" si="15"/>
        <v>238.79884400397395</v>
      </c>
    </row>
    <row r="181" spans="1:8" x14ac:dyDescent="0.2">
      <c r="A181" s="11"/>
      <c r="B181" s="11">
        <v>0.16300000000000001</v>
      </c>
      <c r="C181">
        <f t="shared" si="16"/>
        <v>-20.292347377472055</v>
      </c>
      <c r="D181" s="8">
        <f t="shared" si="15"/>
        <v>69.032534475002592</v>
      </c>
      <c r="E181" s="8">
        <f t="shared" si="15"/>
        <v>32.968447578046522</v>
      </c>
      <c r="F181" s="8">
        <f t="shared" si="15"/>
        <v>-90.67710174166784</v>
      </c>
      <c r="G181" s="8">
        <f t="shared" si="15"/>
        <v>18.645796516664319</v>
      </c>
      <c r="H181" s="8">
        <f t="shared" si="15"/>
        <v>237.29159303332864</v>
      </c>
    </row>
    <row r="182" spans="1:8" x14ac:dyDescent="0.2">
      <c r="A182" s="11"/>
      <c r="B182" s="11">
        <v>0.16400000000000001</v>
      </c>
      <c r="C182">
        <f t="shared" si="16"/>
        <v>-20.446735395188995</v>
      </c>
      <c r="D182" s="8">
        <f t="shared" si="15"/>
        <v>68.362943047755365</v>
      </c>
      <c r="E182" s="8">
        <f t="shared" si="15"/>
        <v>32.450624283308834</v>
      </c>
      <c r="F182" s="8">
        <f t="shared" si="15"/>
        <v>-91.052297957835407</v>
      </c>
      <c r="G182" s="8">
        <f t="shared" si="15"/>
        <v>17.895404084329186</v>
      </c>
      <c r="H182" s="8">
        <f t="shared" si="15"/>
        <v>235.79080816865837</v>
      </c>
    </row>
    <row r="183" spans="1:8" x14ac:dyDescent="0.2">
      <c r="A183" s="11"/>
      <c r="B183" s="11">
        <v>0.16500000000000001</v>
      </c>
      <c r="C183">
        <f t="shared" si="16"/>
        <v>-20.600858369098717</v>
      </c>
      <c r="D183" s="8">
        <f t="shared" si="15"/>
        <v>67.695721171626587</v>
      </c>
      <c r="E183" s="8">
        <f t="shared" si="15"/>
        <v>31.93463740889657</v>
      </c>
      <c r="F183" s="8">
        <f t="shared" si="15"/>
        <v>-91.425885962251314</v>
      </c>
      <c r="G183" s="8">
        <f t="shared" si="15"/>
        <v>17.148228075497371</v>
      </c>
      <c r="H183" s="8">
        <f t="shared" si="15"/>
        <v>234.29645615099474</v>
      </c>
    </row>
    <row r="184" spans="1:8" x14ac:dyDescent="0.2">
      <c r="A184" s="11"/>
      <c r="B184" s="11">
        <v>0.16600000000000001</v>
      </c>
      <c r="C184">
        <f t="shared" si="16"/>
        <v>-20.754716981132077</v>
      </c>
      <c r="D184" s="8">
        <f t="shared" si="15"/>
        <v>67.03085812356376</v>
      </c>
      <c r="E184" s="8">
        <f t="shared" si="15"/>
        <v>31.420478472174494</v>
      </c>
      <c r="F184" s="8">
        <f t="shared" si="15"/>
        <v>-91.797874019804539</v>
      </c>
      <c r="G184" s="8">
        <f t="shared" si="15"/>
        <v>16.404251960390923</v>
      </c>
      <c r="H184" s="8">
        <f t="shared" si="15"/>
        <v>232.80850392078185</v>
      </c>
    </row>
    <row r="185" spans="1:8" x14ac:dyDescent="0.2">
      <c r="A185" s="11"/>
      <c r="B185" s="11">
        <v>0.16700000000000001</v>
      </c>
      <c r="C185">
        <f t="shared" si="16"/>
        <v>-20.908311910882617</v>
      </c>
      <c r="D185" s="8">
        <f t="shared" ref="D185:H235" si="17">$D$5+(D$6/(1+$B185))+(D$7/(1+$B185)^2)+(D$8/(1+$B185)^3)+(D$9/(1+$B185)^4)</f>
        <v>66.368343239195795</v>
      </c>
      <c r="E185" s="8">
        <f t="shared" si="17"/>
        <v>30.908139037959657</v>
      </c>
      <c r="F185" s="8">
        <f t="shared" si="17"/>
        <v>-92.168270345873012</v>
      </c>
      <c r="G185" s="8">
        <f t="shared" si="17"/>
        <v>15.663459308253977</v>
      </c>
      <c r="H185" s="8">
        <f t="shared" si="17"/>
        <v>231.32691861650795</v>
      </c>
    </row>
    <row r="186" spans="1:8" x14ac:dyDescent="0.2">
      <c r="A186" s="11"/>
      <c r="B186" s="11">
        <v>0.16800000000000001</v>
      </c>
      <c r="C186">
        <f t="shared" si="16"/>
        <v>-21.061643835616422</v>
      </c>
      <c r="D186" s="8">
        <f t="shared" si="17"/>
        <v>65.708165912459194</v>
      </c>
      <c r="E186" s="8">
        <f t="shared" si="17"/>
        <v>30.39761071821318</v>
      </c>
      <c r="F186" s="8">
        <f t="shared" si="17"/>
        <v>-92.537083106661413</v>
      </c>
      <c r="G186" s="8">
        <f t="shared" si="17"/>
        <v>14.925833786677174</v>
      </c>
      <c r="H186" s="8">
        <f t="shared" si="17"/>
        <v>229.85166757335435</v>
      </c>
    </row>
    <row r="187" spans="1:8" x14ac:dyDescent="0.2">
      <c r="A187" s="11"/>
      <c r="B187" s="11">
        <v>0.16900000000000001</v>
      </c>
      <c r="C187">
        <f t="shared" si="16"/>
        <v>-21.214713430282302</v>
      </c>
      <c r="D187" s="8">
        <f t="shared" si="17"/>
        <v>65.050315595224063</v>
      </c>
      <c r="E187" s="8">
        <f t="shared" si="17"/>
        <v>29.888885171731737</v>
      </c>
      <c r="F187" s="8">
        <f t="shared" si="17"/>
        <v>-92.904320419538166</v>
      </c>
      <c r="G187" s="8">
        <f t="shared" si="17"/>
        <v>14.191359160923668</v>
      </c>
      <c r="H187" s="8">
        <f t="shared" si="17"/>
        <v>228.38271832184734</v>
      </c>
    </row>
    <row r="188" spans="1:8" x14ac:dyDescent="0.2">
      <c r="A188" s="11"/>
      <c r="B188" s="11">
        <v>0.17</v>
      </c>
      <c r="C188">
        <f t="shared" si="16"/>
        <v>-21.367521367521363</v>
      </c>
      <c r="D188" s="8">
        <f t="shared" si="17"/>
        <v>64.394781796925813</v>
      </c>
      <c r="E188" s="8">
        <f t="shared" si="17"/>
        <v>29.381954103843874</v>
      </c>
      <c r="F188" s="8">
        <f t="shared" si="17"/>
        <v>-93.269990353368144</v>
      </c>
      <c r="G188" s="8">
        <f t="shared" si="17"/>
        <v>13.460019293263713</v>
      </c>
      <c r="H188" s="8">
        <f t="shared" si="17"/>
        <v>226.92003858652743</v>
      </c>
    </row>
    <row r="189" spans="1:8" x14ac:dyDescent="0.2">
      <c r="A189" s="11"/>
      <c r="B189" s="11">
        <v>0.17100000000000001</v>
      </c>
      <c r="C189">
        <f t="shared" si="16"/>
        <v>-21.520068317677215</v>
      </c>
      <c r="D189" s="8">
        <f t="shared" si="17"/>
        <v>63.741554084196764</v>
      </c>
      <c r="E189" s="8">
        <f t="shared" si="17"/>
        <v>28.876809266106193</v>
      </c>
      <c r="F189" s="8">
        <f t="shared" si="17"/>
        <v>-93.634100928844305</v>
      </c>
      <c r="G189" s="8">
        <f t="shared" si="17"/>
        <v>12.731798142311391</v>
      </c>
      <c r="H189" s="8">
        <f t="shared" si="17"/>
        <v>225.46359628462278</v>
      </c>
    </row>
    <row r="190" spans="1:8" x14ac:dyDescent="0.2">
      <c r="A190" s="11"/>
      <c r="B190" s="11">
        <v>0.17199999999999999</v>
      </c>
      <c r="C190">
        <f t="shared" si="16"/>
        <v>-21.672354948805463</v>
      </c>
      <c r="D190" s="8">
        <f t="shared" si="17"/>
        <v>63.09062208050311</v>
      </c>
      <c r="E190" s="8">
        <f t="shared" si="17"/>
        <v>28.373442456004071</v>
      </c>
      <c r="F190" s="8">
        <f t="shared" si="17"/>
        <v>-93.99666011881537</v>
      </c>
      <c r="G190" s="8">
        <f t="shared" si="17"/>
        <v>12.006679762369259</v>
      </c>
      <c r="H190" s="8">
        <f t="shared" si="17"/>
        <v>224.01335952473852</v>
      </c>
    </row>
    <row r="191" spans="1:8" x14ac:dyDescent="0.2">
      <c r="A191" s="11"/>
      <c r="B191" s="11">
        <v>0.17299999999999999</v>
      </c>
      <c r="C191">
        <f t="shared" si="16"/>
        <v>-21.824381926683714</v>
      </c>
      <c r="D191" s="8">
        <f t="shared" si="17"/>
        <v>62.441975465781823</v>
      </c>
      <c r="E191" s="8">
        <f t="shared" si="17"/>
        <v>27.871845516652357</v>
      </c>
      <c r="F191" s="8">
        <f t="shared" si="17"/>
        <v>-94.357675848612431</v>
      </c>
      <c r="G191" s="8">
        <f t="shared" si="17"/>
        <v>11.284648302775139</v>
      </c>
      <c r="H191" s="8">
        <f t="shared" si="17"/>
        <v>222.56929660555028</v>
      </c>
    </row>
    <row r="192" spans="1:8" x14ac:dyDescent="0.2">
      <c r="A192" s="11"/>
      <c r="B192" s="11">
        <v>0.17399999999999999</v>
      </c>
      <c r="C192">
        <f t="shared" si="16"/>
        <v>-21.976149914821121</v>
      </c>
      <c r="D192" s="8">
        <f t="shared" si="17"/>
        <v>61.795603976082859</v>
      </c>
      <c r="E192" s="8">
        <f t="shared" si="17"/>
        <v>27.372010336500416</v>
      </c>
      <c r="F192" s="8">
        <f t="shared" si="17"/>
        <v>-94.717155996371702</v>
      </c>
      <c r="G192" s="8">
        <f t="shared" si="17"/>
        <v>10.565688007256597</v>
      </c>
      <c r="H192" s="8">
        <f t="shared" si="17"/>
        <v>221.13137601451319</v>
      </c>
    </row>
    <row r="193" spans="1:8" x14ac:dyDescent="0.2">
      <c r="A193" s="11"/>
      <c r="B193" s="11">
        <v>0.17499999999999999</v>
      </c>
      <c r="C193">
        <f t="shared" si="16"/>
        <v>-22.127659574468083</v>
      </c>
      <c r="D193" s="8">
        <f t="shared" si="17"/>
        <v>61.151497403211337</v>
      </c>
      <c r="E193" s="8">
        <f t="shared" si="17"/>
        <v>26.873928849037434</v>
      </c>
      <c r="F193" s="8">
        <f t="shared" si="17"/>
        <v>-95.075108393356075</v>
      </c>
      <c r="G193" s="8">
        <f t="shared" si="17"/>
        <v>9.84978321328785</v>
      </c>
      <c r="H193" s="8">
        <f t="shared" si="17"/>
        <v>219.6995664265757</v>
      </c>
    </row>
    <row r="194" spans="1:8" x14ac:dyDescent="0.2">
      <c r="A194" s="11"/>
      <c r="B194" s="11">
        <v>0.17599999999999999</v>
      </c>
      <c r="C194">
        <f t="shared" si="16"/>
        <v>-22.278911564625844</v>
      </c>
      <c r="D194" s="8">
        <f t="shared" si="17"/>
        <v>60.509645594375087</v>
      </c>
      <c r="E194" s="8">
        <f t="shared" si="17"/>
        <v>26.377593032501601</v>
      </c>
      <c r="F194" s="8">
        <f t="shared" si="17"/>
        <v>-95.431540824272759</v>
      </c>
      <c r="G194" s="8">
        <f t="shared" si="17"/>
        <v>9.1369183514544829</v>
      </c>
      <c r="H194" s="8">
        <f t="shared" si="17"/>
        <v>218.27383670290897</v>
      </c>
    </row>
    <row r="195" spans="1:8" x14ac:dyDescent="0.2">
      <c r="A195" s="11"/>
      <c r="B195" s="11">
        <v>0.17699999999999999</v>
      </c>
      <c r="C195">
        <f t="shared" si="16"/>
        <v>-22.429906542056074</v>
      </c>
      <c r="D195" s="8">
        <f t="shared" si="17"/>
        <v>59.870038451831704</v>
      </c>
      <c r="E195" s="8">
        <f t="shared" si="17"/>
        <v>25.882994909589748</v>
      </c>
      <c r="F195" s="8">
        <f t="shared" si="17"/>
        <v>-95.786461027590306</v>
      </c>
      <c r="G195" s="8">
        <f t="shared" si="17"/>
        <v>8.4270779448193878</v>
      </c>
      <c r="H195" s="8">
        <f t="shared" si="17"/>
        <v>216.85415588963878</v>
      </c>
    </row>
    <row r="196" spans="1:8" x14ac:dyDescent="0.2">
      <c r="A196" s="11"/>
      <c r="B196" s="11">
        <v>0.17799999999999999</v>
      </c>
      <c r="C196">
        <f t="shared" si="16"/>
        <v>-22.580645161290306</v>
      </c>
      <c r="D196" s="8">
        <f t="shared" si="17"/>
        <v>59.232665932541195</v>
      </c>
      <c r="E196" s="8">
        <f t="shared" si="17"/>
        <v>25.39012654717088</v>
      </c>
      <c r="F196" s="8">
        <f t="shared" si="17"/>
        <v>-96.139876695851271</v>
      </c>
      <c r="G196" s="8">
        <f t="shared" si="17"/>
        <v>7.7202466082974581</v>
      </c>
      <c r="H196" s="8">
        <f t="shared" si="17"/>
        <v>215.44049321659492</v>
      </c>
    </row>
    <row r="197" spans="1:8" x14ac:dyDescent="0.2">
      <c r="A197" s="11"/>
      <c r="B197" s="11">
        <v>0.17899999999999999</v>
      </c>
      <c r="C197">
        <f t="shared" si="16"/>
        <v>-22.731128074639543</v>
      </c>
      <c r="D197" s="8">
        <f t="shared" si="17"/>
        <v>58.597518047818667</v>
      </c>
      <c r="E197" s="8">
        <f t="shared" si="17"/>
        <v>24.898980056000205</v>
      </c>
      <c r="F197" s="8">
        <f t="shared" si="17"/>
        <v>-96.491795475984148</v>
      </c>
      <c r="G197" s="8">
        <f t="shared" si="17"/>
        <v>7.0164090480317043</v>
      </c>
      <c r="H197" s="8">
        <f t="shared" si="17"/>
        <v>214.03281809606341</v>
      </c>
    </row>
    <row r="198" spans="1:8" x14ac:dyDescent="0.2">
      <c r="A198" s="11"/>
      <c r="B198" s="11">
        <v>0.18</v>
      </c>
      <c r="C198">
        <f t="shared" si="16"/>
        <v>-22.881355932203377</v>
      </c>
      <c r="D198" s="8">
        <f t="shared" si="17"/>
        <v>57.964584862991245</v>
      </c>
      <c r="E198" s="8">
        <f t="shared" si="17"/>
        <v>24.409547590436588</v>
      </c>
      <c r="F198" s="8">
        <f t="shared" si="17"/>
        <v>-96.842224969611763</v>
      </c>
      <c r="G198" s="8">
        <f t="shared" si="17"/>
        <v>6.3155500607764736</v>
      </c>
      <c r="H198" s="8">
        <f t="shared" si="17"/>
        <v>212.63110012155295</v>
      </c>
    </row>
    <row r="199" spans="1:8" x14ac:dyDescent="0.2">
      <c r="A199" s="11"/>
      <c r="B199" s="11">
        <v>0.18099999999999999</v>
      </c>
      <c r="C199">
        <f t="shared" si="16"/>
        <v>-23.031329381879772</v>
      </c>
      <c r="D199" s="8">
        <f t="shared" si="17"/>
        <v>57.333856497056061</v>
      </c>
      <c r="E199" s="8">
        <f t="shared" si="17"/>
        <v>23.921821348160883</v>
      </c>
      <c r="F199" s="8">
        <f t="shared" si="17"/>
        <v>-97.191172733358201</v>
      </c>
      <c r="G199" s="8">
        <f t="shared" si="17"/>
        <v>5.6176545332835985</v>
      </c>
      <c r="H199" s="8">
        <f t="shared" si="17"/>
        <v>211.2353090665672</v>
      </c>
    </row>
    <row r="200" spans="1:8" x14ac:dyDescent="0.2">
      <c r="A200" s="11"/>
      <c r="B200" s="11">
        <v>0.182</v>
      </c>
      <c r="C200">
        <f t="shared" si="16"/>
        <v>-23.181049069373927</v>
      </c>
      <c r="D200" s="8">
        <f t="shared" si="17"/>
        <v>56.705323122342321</v>
      </c>
      <c r="E200" s="8">
        <f t="shared" si="17"/>
        <v>23.435793569897577</v>
      </c>
      <c r="F200" s="8">
        <f t="shared" si="17"/>
        <v>-97.538646279152445</v>
      </c>
      <c r="G200" s="8">
        <f t="shared" si="17"/>
        <v>4.9227074416951098</v>
      </c>
      <c r="H200" s="8">
        <f t="shared" si="17"/>
        <v>209.84541488339022</v>
      </c>
    </row>
    <row r="201" spans="1:8" x14ac:dyDescent="0.2">
      <c r="A201" s="11"/>
      <c r="B201" s="11">
        <v>0.183</v>
      </c>
      <c r="C201">
        <f t="shared" si="16"/>
        <v>-23.330515638207942</v>
      </c>
      <c r="D201" s="8">
        <f t="shared" si="17"/>
        <v>56.078974964173781</v>
      </c>
      <c r="E201" s="8">
        <f t="shared" si="17"/>
        <v>22.951456539137155</v>
      </c>
      <c r="F201" s="8">
        <f t="shared" si="17"/>
        <v>-97.884653074530917</v>
      </c>
      <c r="G201" s="8">
        <f t="shared" si="17"/>
        <v>4.2306938509381666</v>
      </c>
      <c r="H201" s="8">
        <f t="shared" si="17"/>
        <v>208.46138770187633</v>
      </c>
    </row>
    <row r="202" spans="1:8" x14ac:dyDescent="0.2">
      <c r="A202" s="11"/>
      <c r="B202" s="11">
        <v>0.184</v>
      </c>
      <c r="C202">
        <f t="shared" si="16"/>
        <v>-23.479729729729712</v>
      </c>
      <c r="D202" s="8">
        <f t="shared" si="17"/>
        <v>55.45480230053613</v>
      </c>
      <c r="E202" s="8">
        <f t="shared" si="17"/>
        <v>22.468802581861986</v>
      </c>
      <c r="F202" s="8">
        <f t="shared" si="17"/>
        <v>-98.22920054293624</v>
      </c>
      <c r="G202" s="8">
        <f t="shared" si="17"/>
        <v>3.541598914127519</v>
      </c>
      <c r="H202" s="8">
        <f t="shared" si="17"/>
        <v>207.08319782825504</v>
      </c>
    </row>
    <row r="203" spans="1:8" x14ac:dyDescent="0.2">
      <c r="A203" s="11"/>
      <c r="B203" s="11">
        <v>0.185</v>
      </c>
      <c r="C203">
        <f t="shared" si="16"/>
        <v>-23.628691983122366</v>
      </c>
      <c r="D203" s="8">
        <f t="shared" si="17"/>
        <v>54.832795461743913</v>
      </c>
      <c r="E203" s="8">
        <f t="shared" si="17"/>
        <v>21.987824066272459</v>
      </c>
      <c r="F203" s="8">
        <f t="shared" si="17"/>
        <v>-98.572296064015447</v>
      </c>
      <c r="G203" s="8">
        <f t="shared" si="17"/>
        <v>2.8554078719691063</v>
      </c>
      <c r="H203" s="8">
        <f t="shared" si="17"/>
        <v>205.71081574393821</v>
      </c>
    </row>
    <row r="204" spans="1:8" x14ac:dyDescent="0.2">
      <c r="A204" s="11"/>
      <c r="B204" s="11">
        <v>0.186</v>
      </c>
      <c r="C204">
        <f t="shared" si="16"/>
        <v>-23.777403035413158</v>
      </c>
      <c r="D204" s="8">
        <f t="shared" si="17"/>
        <v>54.212944830112718</v>
      </c>
      <c r="E204" s="8">
        <f t="shared" si="17"/>
        <v>21.508513402516932</v>
      </c>
      <c r="F204" s="8">
        <f t="shared" si="17"/>
        <v>-98.91394697391415</v>
      </c>
      <c r="G204" s="8">
        <f t="shared" si="17"/>
        <v>2.1721060521716993</v>
      </c>
      <c r="H204" s="8">
        <f t="shared" si="17"/>
        <v>204.3442121043434</v>
      </c>
    </row>
    <row r="205" spans="1:8" x14ac:dyDescent="0.2">
      <c r="A205" s="11"/>
      <c r="B205" s="11">
        <v>0.187</v>
      </c>
      <c r="C205">
        <f t="shared" si="16"/>
        <v>-23.925863521482739</v>
      </c>
      <c r="D205" s="8">
        <f t="shared" si="17"/>
        <v>53.595240839631344</v>
      </c>
      <c r="E205" s="8">
        <f t="shared" si="17"/>
        <v>21.03086304242219</v>
      </c>
      <c r="F205" s="8">
        <f t="shared" si="17"/>
        <v>-99.254160565570061</v>
      </c>
      <c r="G205" s="8">
        <f t="shared" si="17"/>
        <v>1.4916788688598785</v>
      </c>
      <c r="H205" s="8">
        <f t="shared" si="17"/>
        <v>202.98335773771976</v>
      </c>
    </row>
    <row r="206" spans="1:8" x14ac:dyDescent="0.2">
      <c r="A206" s="11"/>
      <c r="B206" s="11">
        <v>0.188</v>
      </c>
      <c r="C206">
        <f t="shared" si="16"/>
        <v>-24.074074074074076</v>
      </c>
      <c r="D206" s="8">
        <f t="shared" si="17"/>
        <v>52.979673975638079</v>
      </c>
      <c r="E206" s="8">
        <f t="shared" si="17"/>
        <v>20.554865479226905</v>
      </c>
      <c r="F206" s="8">
        <f t="shared" si="17"/>
        <v>-99.592944089003012</v>
      </c>
      <c r="G206" s="8">
        <f t="shared" si="17"/>
        <v>0.81411182199397558</v>
      </c>
      <c r="H206" s="8">
        <f t="shared" si="17"/>
        <v>201.62822364398795</v>
      </c>
    </row>
    <row r="207" spans="1:8" x14ac:dyDescent="0.2">
      <c r="A207" s="11"/>
      <c r="B207" s="11">
        <v>0.189</v>
      </c>
      <c r="C207">
        <f t="shared" si="16"/>
        <v>-24.222035323801521</v>
      </c>
      <c r="D207" s="8">
        <f t="shared" si="17"/>
        <v>52.366234774497755</v>
      </c>
      <c r="E207" s="8">
        <f t="shared" si="17"/>
        <v>20.080513247316162</v>
      </c>
      <c r="F207" s="8">
        <f t="shared" si="17"/>
        <v>-99.930304751603927</v>
      </c>
      <c r="G207" s="8">
        <f t="shared" si="17"/>
        <v>0.13939049679214577</v>
      </c>
      <c r="H207" s="8">
        <f t="shared" si="17"/>
        <v>200.27878099358429</v>
      </c>
    </row>
    <row r="208" spans="1:8" x14ac:dyDescent="0.2">
      <c r="A208" s="11"/>
      <c r="B208" s="11">
        <v>0.19</v>
      </c>
      <c r="C208">
        <f t="shared" si="16"/>
        <v>-24.369747899159648</v>
      </c>
      <c r="D208" s="8">
        <f t="shared" si="17"/>
        <v>51.754913823282834</v>
      </c>
      <c r="E208" s="8">
        <f t="shared" si="17"/>
        <v>19.607798921958967</v>
      </c>
      <c r="F208" s="8">
        <f t="shared" si="17"/>
        <v>-100.26624971842045</v>
      </c>
      <c r="G208" s="8">
        <f t="shared" si="17"/>
        <v>-0.53249943684090795</v>
      </c>
      <c r="H208" s="8">
        <f t="shared" si="17"/>
        <v>198.93500112631818</v>
      </c>
    </row>
    <row r="209" spans="1:8" x14ac:dyDescent="0.2">
      <c r="A209" s="11"/>
      <c r="B209" s="11">
        <v>0.191</v>
      </c>
      <c r="C209">
        <f t="shared" si="16"/>
        <v>-24.517212426532325</v>
      </c>
      <c r="D209" s="8">
        <f t="shared" si="17"/>
        <v>51.145701759454766</v>
      </c>
      <c r="E209" s="8">
        <f t="shared" si="17"/>
        <v>19.136715119046222</v>
      </c>
      <c r="F209" s="8">
        <f t="shared" si="17"/>
        <v>-100.60078611244158</v>
      </c>
      <c r="G209" s="8">
        <f t="shared" si="17"/>
        <v>-1.2015722248831651</v>
      </c>
      <c r="H209" s="8">
        <f t="shared" si="17"/>
        <v>197.59685555023367</v>
      </c>
    </row>
    <row r="210" spans="1:8" x14ac:dyDescent="0.2">
      <c r="A210" s="11"/>
      <c r="B210" s="11">
        <v>0.192</v>
      </c>
      <c r="C210">
        <f t="shared" si="16"/>
        <v>-24.664429530201346</v>
      </c>
      <c r="D210" s="8">
        <f t="shared" si="17"/>
        <v>50.538589270549906</v>
      </c>
      <c r="E210" s="8">
        <f t="shared" si="17"/>
        <v>18.667254494832392</v>
      </c>
      <c r="F210" s="8">
        <f t="shared" si="17"/>
        <v>-100.93392101487908</v>
      </c>
      <c r="G210" s="8">
        <f t="shared" si="17"/>
        <v>-1.8678420297581511</v>
      </c>
      <c r="H210" s="8">
        <f t="shared" si="17"/>
        <v>196.2643159404837</v>
      </c>
    </row>
    <row r="211" spans="1:8" x14ac:dyDescent="0.2">
      <c r="A211" s="11"/>
      <c r="B211" s="11">
        <v>0.193</v>
      </c>
      <c r="C211">
        <f t="shared" si="16"/>
        <v>-24.81139983235542</v>
      </c>
      <c r="D211" s="8">
        <f t="shared" si="17"/>
        <v>49.93356709386525</v>
      </c>
      <c r="E211" s="8">
        <f t="shared" si="17"/>
        <v>18.199409745677222</v>
      </c>
      <c r="F211" s="8">
        <f t="shared" si="17"/>
        <v>-101.26566146544774</v>
      </c>
      <c r="G211" s="8">
        <f t="shared" si="17"/>
        <v>-2.5313229308954703</v>
      </c>
      <c r="H211" s="8">
        <f t="shared" si="17"/>
        <v>194.93735413820906</v>
      </c>
    </row>
    <row r="212" spans="1:8" x14ac:dyDescent="0.2">
      <c r="A212" s="11"/>
      <c r="B212" s="11">
        <v>0.19400000000000001</v>
      </c>
      <c r="C212">
        <f t="shared" ref="C212:C275" si="18">$C$5+$C$6/(1+$B212)</f>
        <v>-24.958123953098834</v>
      </c>
      <c r="D212" s="8">
        <f t="shared" si="17"/>
        <v>49.330626016148869</v>
      </c>
      <c r="E212" s="8">
        <f t="shared" si="17"/>
        <v>17.733173607791088</v>
      </c>
      <c r="F212" s="8">
        <f t="shared" si="17"/>
        <v>-101.59601446264254</v>
      </c>
      <c r="G212" s="8">
        <f t="shared" si="17"/>
        <v>-3.1920289252850864</v>
      </c>
      <c r="H212" s="8">
        <f t="shared" si="17"/>
        <v>193.61594214942983</v>
      </c>
    </row>
    <row r="213" spans="1:8" x14ac:dyDescent="0.2">
      <c r="A213" s="11"/>
      <c r="B213" s="11">
        <v>0.19500000000000001</v>
      </c>
      <c r="C213">
        <f t="shared" si="18"/>
        <v>-25.104602510460268</v>
      </c>
      <c r="D213" s="8">
        <f t="shared" si="17"/>
        <v>48.729756873290057</v>
      </c>
      <c r="E213" s="8">
        <f t="shared" si="17"/>
        <v>17.268538856980427</v>
      </c>
      <c r="F213" s="8">
        <f t="shared" si="17"/>
        <v>-101.92498696401485</v>
      </c>
      <c r="G213" s="8">
        <f t="shared" si="17"/>
        <v>-3.8499739280296978</v>
      </c>
      <c r="H213" s="8">
        <f t="shared" si="17"/>
        <v>192.3000521439406</v>
      </c>
    </row>
    <row r="214" spans="1:8" x14ac:dyDescent="0.2">
      <c r="A214" s="11"/>
      <c r="B214" s="11">
        <v>0.19600000000000001</v>
      </c>
      <c r="C214">
        <f t="shared" si="18"/>
        <v>-25.250836120401317</v>
      </c>
      <c r="D214" s="8">
        <f t="shared" si="17"/>
        <v>48.130950550014106</v>
      </c>
      <c r="E214" s="8">
        <f t="shared" si="17"/>
        <v>16.805498308396643</v>
      </c>
      <c r="F214" s="8">
        <f t="shared" si="17"/>
        <v>-102.25258588644542</v>
      </c>
      <c r="G214" s="8">
        <f t="shared" si="17"/>
        <v>-4.5051717728908329</v>
      </c>
      <c r="H214" s="8">
        <f t="shared" si="17"/>
        <v>190.98965645421833</v>
      </c>
    </row>
    <row r="215" spans="1:8" x14ac:dyDescent="0.2">
      <c r="A215" s="11"/>
      <c r="B215" s="11">
        <v>0.19700000000000001</v>
      </c>
      <c r="C215">
        <f t="shared" si="18"/>
        <v>-25.39682539682542</v>
      </c>
      <c r="D215" s="8">
        <f t="shared" si="17"/>
        <v>47.534197979577215</v>
      </c>
      <c r="E215" s="8">
        <f t="shared" si="17"/>
        <v>16.344044816285631</v>
      </c>
      <c r="F215" s="8">
        <f t="shared" si="17"/>
        <v>-102.57881810641622</v>
      </c>
      <c r="G215" s="8">
        <f t="shared" si="17"/>
        <v>-5.1576362128324433</v>
      </c>
      <c r="H215" s="8">
        <f t="shared" si="17"/>
        <v>189.68472757433511</v>
      </c>
    </row>
    <row r="216" spans="1:8" x14ac:dyDescent="0.2">
      <c r="A216" s="11"/>
      <c r="B216" s="11">
        <v>0.19800000000000001</v>
      </c>
      <c r="C216">
        <f t="shared" si="18"/>
        <v>-25.542570951585958</v>
      </c>
      <c r="D216" s="8">
        <f t="shared" si="17"/>
        <v>46.93949014346515</v>
      </c>
      <c r="E216" s="8">
        <f t="shared" si="17"/>
        <v>15.884171273739881</v>
      </c>
      <c r="F216" s="8">
        <f t="shared" si="17"/>
        <v>-102.90369046027963</v>
      </c>
      <c r="G216" s="8">
        <f t="shared" si="17"/>
        <v>-5.8073809205592681</v>
      </c>
      <c r="H216" s="8">
        <f t="shared" si="17"/>
        <v>188.38523815888146</v>
      </c>
    </row>
    <row r="217" spans="1:8" x14ac:dyDescent="0.2">
      <c r="A217" s="11"/>
      <c r="B217" s="11">
        <v>0.19900000000000001</v>
      </c>
      <c r="C217">
        <f t="shared" si="18"/>
        <v>-25.688073394495433</v>
      </c>
      <c r="D217" s="8">
        <f t="shared" si="17"/>
        <v>46.346818071092571</v>
      </c>
      <c r="E217" s="8">
        <f t="shared" si="17"/>
        <v>15.425870612451703</v>
      </c>
      <c r="F217" s="8">
        <f t="shared" si="17"/>
        <v>-103.22720974452614</v>
      </c>
      <c r="G217" s="8">
        <f t="shared" si="17"/>
        <v>-6.4544194890522704</v>
      </c>
      <c r="H217" s="8">
        <f t="shared" si="17"/>
        <v>187.09116102189546</v>
      </c>
    </row>
    <row r="218" spans="1:8" x14ac:dyDescent="0.2">
      <c r="A218" s="11"/>
      <c r="B218" s="11">
        <v>0.2</v>
      </c>
      <c r="C218">
        <f t="shared" si="18"/>
        <v>-25.833333333333314</v>
      </c>
      <c r="D218" s="8">
        <f t="shared" si="17"/>
        <v>45.756172839506178</v>
      </c>
      <c r="E218" s="8">
        <f t="shared" si="17"/>
        <v>14.969135802469147</v>
      </c>
      <c r="F218" s="8">
        <f t="shared" si="17"/>
        <v>-103.54938271604938</v>
      </c>
      <c r="G218" s="8">
        <f t="shared" si="17"/>
        <v>-7.0987654320987588</v>
      </c>
      <c r="H218" s="8">
        <f t="shared" si="17"/>
        <v>185.80246913580248</v>
      </c>
    </row>
    <row r="219" spans="1:8" x14ac:dyDescent="0.2">
      <c r="A219" s="11"/>
      <c r="B219" s="11">
        <v>0.20100000000000001</v>
      </c>
      <c r="C219">
        <f t="shared" si="18"/>
        <v>-25.978351373855133</v>
      </c>
      <c r="D219" s="8">
        <f t="shared" si="17"/>
        <v>45.16754557308812</v>
      </c>
      <c r="E219" s="8">
        <f t="shared" si="17"/>
        <v>14.513959851952436</v>
      </c>
      <c r="F219" s="8">
        <f t="shared" si="17"/>
        <v>-103.87021609241002</v>
      </c>
      <c r="G219" s="8">
        <f t="shared" si="17"/>
        <v>-7.7404321848200368</v>
      </c>
      <c r="H219" s="8">
        <f t="shared" si="17"/>
        <v>184.51913563035993</v>
      </c>
    </row>
    <row r="220" spans="1:8" x14ac:dyDescent="0.2">
      <c r="A220" s="11"/>
      <c r="B220" s="11">
        <v>0.20200000000000001</v>
      </c>
      <c r="C220">
        <f t="shared" si="18"/>
        <v>-26.123128119800327</v>
      </c>
      <c r="D220" s="8">
        <f t="shared" si="17"/>
        <v>44.580927443263391</v>
      </c>
      <c r="E220" s="8">
        <f t="shared" si="17"/>
        <v>14.060335806933644</v>
      </c>
      <c r="F220" s="8">
        <f t="shared" si="17"/>
        <v>-104.18971655209666</v>
      </c>
      <c r="G220" s="8">
        <f t="shared" si="17"/>
        <v>-8.3794331041933106</v>
      </c>
      <c r="H220" s="8">
        <f t="shared" si="17"/>
        <v>183.24113379161338</v>
      </c>
    </row>
    <row r="221" spans="1:8" x14ac:dyDescent="0.2">
      <c r="A221" s="11"/>
      <c r="B221" s="11">
        <v>0.20300000000000001</v>
      </c>
      <c r="C221">
        <f t="shared" si="18"/>
        <v>-26.267664172901078</v>
      </c>
      <c r="D221" s="8">
        <f t="shared" si="17"/>
        <v>43.996309668207331</v>
      </c>
      <c r="E221" s="8">
        <f t="shared" si="17"/>
        <v>13.608256751076539</v>
      </c>
      <c r="F221" s="8">
        <f t="shared" si="17"/>
        <v>-104.50789073478599</v>
      </c>
      <c r="G221" s="8">
        <f t="shared" si="17"/>
        <v>-9.0157814695719765</v>
      </c>
      <c r="H221" s="8">
        <f t="shared" si="17"/>
        <v>181.96843706085605</v>
      </c>
    </row>
    <row r="222" spans="1:8" x14ac:dyDescent="0.2">
      <c r="A222" s="11"/>
      <c r="B222" s="11">
        <v>0.20399999999999999</v>
      </c>
      <c r="C222">
        <f t="shared" si="18"/>
        <v>-26.411960132890357</v>
      </c>
      <c r="D222" s="8">
        <f t="shared" si="17"/>
        <v>43.413683512557228</v>
      </c>
      <c r="E222" s="8">
        <f t="shared" si="17"/>
        <v>13.157715805439651</v>
      </c>
      <c r="F222" s="8">
        <f t="shared" si="17"/>
        <v>-104.82474524159969</v>
      </c>
      <c r="G222" s="8">
        <f t="shared" si="17"/>
        <v>-9.6494904831993722</v>
      </c>
      <c r="H222" s="8">
        <f t="shared" si="17"/>
        <v>180.70101903360126</v>
      </c>
    </row>
    <row r="223" spans="1:8" x14ac:dyDescent="0.2">
      <c r="A223" s="11"/>
      <c r="B223" s="11">
        <v>0.20499999999999999</v>
      </c>
      <c r="C223">
        <f t="shared" si="18"/>
        <v>-26.556016597510393</v>
      </c>
      <c r="D223" s="8">
        <f t="shared" si="17"/>
        <v>42.833040287123893</v>
      </c>
      <c r="E223" s="8">
        <f t="shared" si="17"/>
        <v>12.708706128239626</v>
      </c>
      <c r="F223" s="8">
        <f t="shared" si="17"/>
        <v>-105.14028663536075</v>
      </c>
      <c r="G223" s="8">
        <f t="shared" si="17"/>
        <v>-10.280573270721504</v>
      </c>
      <c r="H223" s="8">
        <f t="shared" si="17"/>
        <v>179.43885345855699</v>
      </c>
    </row>
    <row r="224" spans="1:8" x14ac:dyDescent="0.2">
      <c r="A224" s="11"/>
      <c r="B224" s="11">
        <v>0.20599999999999999</v>
      </c>
      <c r="C224">
        <f t="shared" si="18"/>
        <v>-26.699834162520716</v>
      </c>
      <c r="D224" s="8">
        <f t="shared" si="17"/>
        <v>42.254371348607478</v>
      </c>
      <c r="E224" s="8">
        <f t="shared" si="17"/>
        <v>12.261220914617766</v>
      </c>
      <c r="F224" s="8">
        <f t="shared" si="17"/>
        <v>-105.45452144084651</v>
      </c>
      <c r="G224" s="8">
        <f t="shared" si="17"/>
        <v>-10.909042881693011</v>
      </c>
      <c r="H224" s="8">
        <f t="shared" si="17"/>
        <v>178.18191423661398</v>
      </c>
    </row>
    <row r="225" spans="1:8" x14ac:dyDescent="0.2">
      <c r="A225" s="11"/>
      <c r="B225" s="11">
        <v>0.20699999999999999</v>
      </c>
      <c r="C225">
        <f t="shared" si="18"/>
        <v>-26.843413421706714</v>
      </c>
      <c r="D225" s="8">
        <f t="shared" si="17"/>
        <v>41.677668099312953</v>
      </c>
      <c r="E225" s="8">
        <f t="shared" si="17"/>
        <v>11.815253396406568</v>
      </c>
      <c r="F225" s="8">
        <f t="shared" si="17"/>
        <v>-105.76745614504118</v>
      </c>
      <c r="G225" s="8">
        <f t="shared" si="17"/>
        <v>-11.53491229008236</v>
      </c>
      <c r="H225" s="8">
        <f t="shared" si="17"/>
        <v>176.93017541983528</v>
      </c>
    </row>
    <row r="226" spans="1:8" x14ac:dyDescent="0.2">
      <c r="A226" s="11"/>
      <c r="B226" s="11">
        <v>0.20799999999999999</v>
      </c>
      <c r="C226">
        <f t="shared" si="18"/>
        <v>-26.986754966887418</v>
      </c>
      <c r="D226" s="8">
        <f t="shared" si="17"/>
        <v>41.102921986869973</v>
      </c>
      <c r="E226" s="8">
        <f t="shared" si="17"/>
        <v>11.37079684189986</v>
      </c>
      <c r="F226" s="8">
        <f t="shared" si="17"/>
        <v>-106.07909719738515</v>
      </c>
      <c r="G226" s="8">
        <f t="shared" si="17"/>
        <v>-12.158194394770305</v>
      </c>
      <c r="H226" s="8">
        <f t="shared" si="17"/>
        <v>175.68361121045939</v>
      </c>
    </row>
    <row r="227" spans="1:8" x14ac:dyDescent="0.2">
      <c r="A227" s="11"/>
      <c r="B227" s="11">
        <v>0.20899999999999999</v>
      </c>
      <c r="C227">
        <f t="shared" si="18"/>
        <v>-27.129859387923915</v>
      </c>
      <c r="D227" s="8">
        <f t="shared" si="17"/>
        <v>40.530124503952251</v>
      </c>
      <c r="E227" s="8">
        <f t="shared" si="17"/>
        <v>10.927844555622443</v>
      </c>
      <c r="F227" s="8">
        <f t="shared" si="17"/>
        <v>-106.38945101002386</v>
      </c>
      <c r="G227" s="8">
        <f t="shared" si="17"/>
        <v>-12.778902020047724</v>
      </c>
      <c r="H227" s="8">
        <f t="shared" si="17"/>
        <v>174.44219595990455</v>
      </c>
    </row>
    <row r="228" spans="1:8" x14ac:dyDescent="0.2">
      <c r="A228" s="11"/>
      <c r="B228" s="11">
        <v>0.21</v>
      </c>
      <c r="C228">
        <f t="shared" si="18"/>
        <v>-27.27272727272728</v>
      </c>
      <c r="D228" s="8">
        <f t="shared" si="17"/>
        <v>39.959267188001434</v>
      </c>
      <c r="E228" s="8">
        <f t="shared" si="17"/>
        <v>10.486389878103552</v>
      </c>
      <c r="F228" s="8">
        <f t="shared" si="17"/>
        <v>-106.69852395805331</v>
      </c>
      <c r="G228" s="8">
        <f t="shared" si="17"/>
        <v>-13.397047916106629</v>
      </c>
      <c r="H228" s="8">
        <f t="shared" si="17"/>
        <v>173.20590416778674</v>
      </c>
    </row>
    <row r="229" spans="1:8" x14ac:dyDescent="0.2">
      <c r="A229" s="11"/>
      <c r="B229" s="11">
        <v>0.21099999999999999</v>
      </c>
      <c r="C229">
        <f t="shared" si="18"/>
        <v>-27.415359207266732</v>
      </c>
      <c r="D229" s="8">
        <f t="shared" si="17"/>
        <v>39.390341620950551</v>
      </c>
      <c r="E229" s="8">
        <f t="shared" si="17"/>
        <v>10.046426185649956</v>
      </c>
      <c r="F229" s="8">
        <f t="shared" si="17"/>
        <v>-107.00632237976517</v>
      </c>
      <c r="G229" s="8">
        <f t="shared" si="17"/>
        <v>-14.012644759530332</v>
      </c>
      <c r="H229" s="8">
        <f t="shared" si="17"/>
        <v>171.97471048093934</v>
      </c>
    </row>
    <row r="230" spans="1:8" x14ac:dyDescent="0.2">
      <c r="A230" s="11"/>
      <c r="B230" s="11">
        <v>0.21199999999999999</v>
      </c>
      <c r="C230">
        <f t="shared" si="18"/>
        <v>-27.557755775577562</v>
      </c>
      <c r="D230" s="8">
        <f t="shared" si="17"/>
        <v>38.823339428951485</v>
      </c>
      <c r="E230" s="8">
        <f t="shared" si="17"/>
        <v>9.6079468901223919</v>
      </c>
      <c r="F230" s="8">
        <f t="shared" si="17"/>
        <v>-107.31285257688887</v>
      </c>
      <c r="G230" s="8">
        <f t="shared" si="17"/>
        <v>-14.625705153777744</v>
      </c>
      <c r="H230" s="8">
        <f t="shared" si="17"/>
        <v>170.74858969244451</v>
      </c>
    </row>
    <row r="231" spans="1:8" x14ac:dyDescent="0.2">
      <c r="A231" s="11"/>
      <c r="B231" s="11">
        <v>0.21299999999999999</v>
      </c>
      <c r="C231">
        <f t="shared" si="18"/>
        <v>-27.699917559769176</v>
      </c>
      <c r="D231" s="8">
        <f t="shared" si="17"/>
        <v>38.258252282102561</v>
      </c>
      <c r="E231" s="8">
        <f t="shared" si="17"/>
        <v>9.1709454387122094</v>
      </c>
      <c r="F231" s="8">
        <f t="shared" si="17"/>
        <v>-107.61812081483285</v>
      </c>
      <c r="G231" s="8">
        <f t="shared" si="17"/>
        <v>-15.236241629665699</v>
      </c>
      <c r="H231" s="8">
        <f t="shared" si="17"/>
        <v>169.5275167406686</v>
      </c>
    </row>
    <row r="232" spans="1:8" x14ac:dyDescent="0.2">
      <c r="A232" s="11"/>
      <c r="B232" s="11">
        <v>0.214</v>
      </c>
      <c r="C232">
        <f t="shared" si="18"/>
        <v>-27.841845140032945</v>
      </c>
      <c r="D232" s="8">
        <f t="shared" si="17"/>
        <v>37.695071894179591</v>
      </c>
      <c r="E232" s="8">
        <f t="shared" si="17"/>
        <v>8.7354153137206794</v>
      </c>
      <c r="F232" s="8">
        <f t="shared" si="17"/>
        <v>-107.92213332292334</v>
      </c>
      <c r="G232" s="8">
        <f t="shared" si="17"/>
        <v>-15.844266645846687</v>
      </c>
      <c r="H232" s="8">
        <f t="shared" si="17"/>
        <v>168.31146670830663</v>
      </c>
    </row>
    <row r="233" spans="1:8" x14ac:dyDescent="0.2">
      <c r="A233" s="11"/>
      <c r="B233" s="11">
        <v>0.215</v>
      </c>
      <c r="C233">
        <f t="shared" si="18"/>
        <v>-27.983539094650212</v>
      </c>
      <c r="D233" s="8">
        <f t="shared" si="17"/>
        <v>37.133790022367336</v>
      </c>
      <c r="E233" s="8">
        <f t="shared" si="17"/>
        <v>8.3013500323388385</v>
      </c>
      <c r="F233" s="8">
        <f t="shared" si="17"/>
        <v>-108.22489629464189</v>
      </c>
      <c r="G233" s="8">
        <f t="shared" si="17"/>
        <v>-16.449792589283788</v>
      </c>
      <c r="H233" s="8">
        <f t="shared" si="17"/>
        <v>167.10041482143242</v>
      </c>
    </row>
    <row r="234" spans="1:8" x14ac:dyDescent="0.2">
      <c r="A234" s="11"/>
      <c r="B234" s="11">
        <v>0.216</v>
      </c>
      <c r="C234">
        <f t="shared" si="18"/>
        <v>-28.125</v>
      </c>
      <c r="D234" s="8">
        <f t="shared" si="17"/>
        <v>36.574398466994495</v>
      </c>
      <c r="E234" s="8">
        <f t="shared" si="17"/>
        <v>7.8687431464302691</v>
      </c>
      <c r="F234" s="8">
        <f t="shared" si="17"/>
        <v>-108.52641588786055</v>
      </c>
      <c r="G234" s="8">
        <f t="shared" si="17"/>
        <v>-17.052831775721103</v>
      </c>
      <c r="H234" s="8">
        <f t="shared" si="17"/>
        <v>165.89433644855779</v>
      </c>
    </row>
    <row r="235" spans="1:8" x14ac:dyDescent="0.2">
      <c r="A235" s="11"/>
      <c r="B235" s="11">
        <v>0.217</v>
      </c>
      <c r="C235">
        <f t="shared" si="18"/>
        <v>-28.266228430566969</v>
      </c>
      <c r="D235" s="8">
        <f t="shared" si="17"/>
        <v>36.016889071268686</v>
      </c>
      <c r="E235" s="8">
        <f t="shared" si="17"/>
        <v>7.437588242313744</v>
      </c>
      <c r="F235" s="8">
        <f t="shared" si="17"/>
        <v>-108.82669822507606</v>
      </c>
      <c r="G235" s="8">
        <f t="shared" si="17"/>
        <v>-17.653396450152115</v>
      </c>
      <c r="H235" s="8">
        <f t="shared" si="17"/>
        <v>164.69320709969577</v>
      </c>
    </row>
    <row r="236" spans="1:8" x14ac:dyDescent="0.2">
      <c r="A236" s="11"/>
      <c r="B236" s="11">
        <v>0.218</v>
      </c>
      <c r="C236">
        <f t="shared" si="18"/>
        <v>-28.407224958949087</v>
      </c>
      <c r="D236" s="8">
        <f t="shared" ref="D236:H286" si="19">$D$5+(D$6/(1+$B236))+(D$7/(1+$B236)^2)+(D$8/(1+$B236)^3)+(D$9/(1+$B236)^4)</f>
        <v>35.461253721015154</v>
      </c>
      <c r="E236" s="8">
        <f t="shared" si="19"/>
        <v>7.0078789405491264</v>
      </c>
      <c r="F236" s="8">
        <f t="shared" si="19"/>
        <v>-109.12574939364158</v>
      </c>
      <c r="G236" s="8">
        <f t="shared" si="19"/>
        <v>-18.251498787283168</v>
      </c>
      <c r="H236" s="8">
        <f t="shared" si="19"/>
        <v>163.49700242543366</v>
      </c>
    </row>
    <row r="237" spans="1:8" x14ac:dyDescent="0.2">
      <c r="A237" s="11"/>
      <c r="B237" s="11">
        <v>0.219</v>
      </c>
      <c r="C237">
        <f t="shared" si="18"/>
        <v>-28.547990155865477</v>
      </c>
      <c r="D237" s="8">
        <f t="shared" si="19"/>
        <v>34.907484344415508</v>
      </c>
      <c r="E237" s="8">
        <f t="shared" si="19"/>
        <v>6.579608895723112</v>
      </c>
      <c r="F237" s="8">
        <f t="shared" si="19"/>
        <v>-109.42357544599737</v>
      </c>
      <c r="G237" s="8">
        <f t="shared" si="19"/>
        <v>-18.847150891994744</v>
      </c>
      <c r="H237" s="8">
        <f t="shared" si="19"/>
        <v>162.30569821601051</v>
      </c>
    </row>
    <row r="238" spans="1:8" x14ac:dyDescent="0.2">
      <c r="A238" s="11"/>
      <c r="B238" s="11">
        <v>0.22</v>
      </c>
      <c r="C238">
        <f t="shared" si="18"/>
        <v>-28.688524590163922</v>
      </c>
      <c r="D238" s="8">
        <f t="shared" si="19"/>
        <v>34.355572911750208</v>
      </c>
      <c r="E238" s="8">
        <f t="shared" si="19"/>
        <v>6.1527717962383264</v>
      </c>
      <c r="F238" s="8">
        <f t="shared" si="19"/>
        <v>-109.72018239989899</v>
      </c>
      <c r="G238" s="8">
        <f t="shared" si="19"/>
        <v>-19.440364799797976</v>
      </c>
      <c r="H238" s="8">
        <f t="shared" si="19"/>
        <v>161.11927040040405</v>
      </c>
    </row>
    <row r="239" spans="1:8" x14ac:dyDescent="0.2">
      <c r="A239" s="11"/>
      <c r="B239" s="11">
        <v>0.221</v>
      </c>
      <c r="C239">
        <f t="shared" si="18"/>
        <v>-28.828828828828847</v>
      </c>
      <c r="D239" s="8">
        <f t="shared" si="19"/>
        <v>33.805511435140481</v>
      </c>
      <c r="E239" s="8">
        <f t="shared" si="19"/>
        <v>5.727361364101867</v>
      </c>
      <c r="F239" s="8">
        <f t="shared" si="19"/>
        <v>-110.0155762386449</v>
      </c>
      <c r="G239" s="8">
        <f t="shared" si="19"/>
        <v>-20.031152477289794</v>
      </c>
      <c r="H239" s="8">
        <f t="shared" si="19"/>
        <v>159.93769504542041</v>
      </c>
    </row>
    <row r="240" spans="1:8" x14ac:dyDescent="0.2">
      <c r="A240" s="11"/>
      <c r="B240" s="11">
        <v>0.222</v>
      </c>
      <c r="C240">
        <f t="shared" si="18"/>
        <v>-28.968903436988541</v>
      </c>
      <c r="D240" s="8">
        <f t="shared" si="19"/>
        <v>33.257291968294908</v>
      </c>
      <c r="E240" s="8">
        <f t="shared" si="19"/>
        <v>5.303371354717477</v>
      </c>
      <c r="F240" s="8">
        <f t="shared" si="19"/>
        <v>-110.30976291130102</v>
      </c>
      <c r="G240" s="8">
        <f t="shared" si="19"/>
        <v>-20.619525822602043</v>
      </c>
      <c r="H240" s="8">
        <f t="shared" si="19"/>
        <v>158.76094835479591</v>
      </c>
    </row>
    <row r="241" spans="1:8" x14ac:dyDescent="0.2">
      <c r="A241" s="11"/>
      <c r="B241" s="11">
        <v>0.223</v>
      </c>
      <c r="C241">
        <f t="shared" si="18"/>
        <v>-29.108748977923142</v>
      </c>
      <c r="D241" s="8">
        <f t="shared" si="19"/>
        <v>32.710906606254632</v>
      </c>
      <c r="E241" s="8">
        <f t="shared" si="19"/>
        <v>4.8807955566770929</v>
      </c>
      <c r="F241" s="8">
        <f t="shared" si="19"/>
        <v>-110.6027483329252</v>
      </c>
      <c r="G241" s="8">
        <f t="shared" si="19"/>
        <v>-21.205496665850404</v>
      </c>
      <c r="H241" s="8">
        <f t="shared" si="19"/>
        <v>157.58900666829919</v>
      </c>
    </row>
    <row r="242" spans="1:8" x14ac:dyDescent="0.2">
      <c r="A242" s="11"/>
      <c r="B242" s="11">
        <v>0.224</v>
      </c>
      <c r="C242">
        <f t="shared" si="18"/>
        <v>-29.248366013071887</v>
      </c>
      <c r="D242" s="8">
        <f t="shared" si="19"/>
        <v>32.166347485143405</v>
      </c>
      <c r="E242" s="8">
        <f t="shared" si="19"/>
        <v>4.459627791555917</v>
      </c>
      <c r="F242" s="8">
        <f t="shared" si="19"/>
        <v>-110.89453838478836</v>
      </c>
      <c r="G242" s="8">
        <f t="shared" si="19"/>
        <v>-21.789076769576724</v>
      </c>
      <c r="H242" s="8">
        <f t="shared" si="19"/>
        <v>156.42184646084655</v>
      </c>
    </row>
    <row r="243" spans="1:8" x14ac:dyDescent="0.2">
      <c r="A243" s="11"/>
      <c r="B243" s="11">
        <v>0.22500000000000001</v>
      </c>
      <c r="C243">
        <f t="shared" si="18"/>
        <v>-29.387755102040842</v>
      </c>
      <c r="D243" s="8">
        <f t="shared" si="19"/>
        <v>31.6236067819166</v>
      </c>
      <c r="E243" s="8">
        <f t="shared" si="19"/>
        <v>4.039861913706936</v>
      </c>
      <c r="F243" s="8">
        <f t="shared" si="19"/>
        <v>-111.1851389145957</v>
      </c>
      <c r="G243" s="8">
        <f t="shared" si="19"/>
        <v>-22.370277829191394</v>
      </c>
      <c r="H243" s="8">
        <f t="shared" si="19"/>
        <v>155.25944434161721</v>
      </c>
    </row>
    <row r="244" spans="1:8" x14ac:dyDescent="0.2">
      <c r="A244" s="11"/>
      <c r="B244" s="11">
        <v>0.22600000000000001</v>
      </c>
      <c r="C244">
        <f t="shared" si="18"/>
        <v>-29.526916802610117</v>
      </c>
      <c r="D244" s="8">
        <f t="shared" si="19"/>
        <v>31.08267671411452</v>
      </c>
      <c r="E244" s="8">
        <f t="shared" si="19"/>
        <v>3.6214918100589202</v>
      </c>
      <c r="F244" s="8">
        <f t="shared" si="19"/>
        <v>-111.47455573670469</v>
      </c>
      <c r="G244" s="8">
        <f t="shared" si="19"/>
        <v>-22.949111473409374</v>
      </c>
      <c r="H244" s="8">
        <f t="shared" si="19"/>
        <v>154.10177705318125</v>
      </c>
    </row>
    <row r="245" spans="1:8" x14ac:dyDescent="0.2">
      <c r="A245" s="11"/>
      <c r="B245" s="11">
        <v>0.22700000000000001</v>
      </c>
      <c r="C245">
        <f t="shared" si="18"/>
        <v>-29.66585167074166</v>
      </c>
      <c r="D245" s="8">
        <f t="shared" si="19"/>
        <v>30.543549539614816</v>
      </c>
      <c r="E245" s="8">
        <f t="shared" si="19"/>
        <v>3.2045113999135779</v>
      </c>
      <c r="F245" s="8">
        <f t="shared" si="19"/>
        <v>-111.76279463234299</v>
      </c>
      <c r="G245" s="8">
        <f t="shared" si="19"/>
        <v>-23.525589264685976</v>
      </c>
      <c r="H245" s="8">
        <f t="shared" si="19"/>
        <v>152.94882147062805</v>
      </c>
    </row>
    <row r="246" spans="1:8" x14ac:dyDescent="0.2">
      <c r="A246" s="11"/>
      <c r="B246" s="11">
        <v>0.22800000000000001</v>
      </c>
      <c r="C246">
        <f t="shared" si="18"/>
        <v>-29.804560260586328</v>
      </c>
      <c r="D246" s="8">
        <f t="shared" si="19"/>
        <v>30.006217556389281</v>
      </c>
      <c r="E246" s="8">
        <f t="shared" si="19"/>
        <v>2.7889146347467246</v>
      </c>
      <c r="F246" s="8">
        <f t="shared" si="19"/>
        <v>-112.04986134982327</v>
      </c>
      <c r="G246" s="8">
        <f t="shared" si="19"/>
        <v>-24.099722699646549</v>
      </c>
      <c r="H246" s="8">
        <f t="shared" si="19"/>
        <v>151.8005546007069</v>
      </c>
    </row>
    <row r="247" spans="1:8" x14ac:dyDescent="0.2">
      <c r="A247" s="11"/>
      <c r="B247" s="11">
        <v>0.22900000000000001</v>
      </c>
      <c r="C247">
        <f t="shared" si="18"/>
        <v>-29.943043124491481</v>
      </c>
      <c r="D247" s="8">
        <f t="shared" si="19"/>
        <v>29.470673102259937</v>
      </c>
      <c r="E247" s="8">
        <f t="shared" si="19"/>
        <v>2.3746954980082577</v>
      </c>
      <c r="F247" s="8">
        <f t="shared" si="19"/>
        <v>-112.33576160475783</v>
      </c>
      <c r="G247" s="8">
        <f t="shared" si="19"/>
        <v>-24.671523209515669</v>
      </c>
      <c r="H247" s="8">
        <f t="shared" si="19"/>
        <v>150.65695358096866</v>
      </c>
    </row>
    <row r="248" spans="1:8" x14ac:dyDescent="0.2">
      <c r="A248" s="11"/>
      <c r="B248" s="11">
        <v>0.23</v>
      </c>
      <c r="C248">
        <f t="shared" si="18"/>
        <v>-30.081300813008141</v>
      </c>
      <c r="D248" s="8">
        <f t="shared" si="19"/>
        <v>28.936908554658736</v>
      </c>
      <c r="E248" s="8">
        <f t="shared" si="19"/>
        <v>1.9618480049257272</v>
      </c>
      <c r="F248" s="8">
        <f t="shared" si="19"/>
        <v>-112.62050108027056</v>
      </c>
      <c r="G248" s="8">
        <f t="shared" si="19"/>
        <v>-25.241002160541115</v>
      </c>
      <c r="H248" s="8">
        <f t="shared" si="19"/>
        <v>149.51799567891777</v>
      </c>
    </row>
    <row r="249" spans="1:8" x14ac:dyDescent="0.2">
      <c r="A249" s="11"/>
      <c r="B249" s="11">
        <v>0.23100000000000001</v>
      </c>
      <c r="C249">
        <f t="shared" si="18"/>
        <v>-30.219333874898467</v>
      </c>
      <c r="D249" s="8">
        <f t="shared" si="19"/>
        <v>28.404916330387287</v>
      </c>
      <c r="E249" s="8">
        <f t="shared" si="19"/>
        <v>1.5503662023076501</v>
      </c>
      <c r="F249" s="8">
        <f t="shared" si="19"/>
        <v>-112.90408542720817</v>
      </c>
      <c r="G249" s="8">
        <f t="shared" si="19"/>
        <v>-25.808170854416346</v>
      </c>
      <c r="H249" s="8">
        <f t="shared" si="19"/>
        <v>148.38365829116731</v>
      </c>
    </row>
    <row r="250" spans="1:8" x14ac:dyDescent="0.2">
      <c r="A250" s="11"/>
      <c r="B250" s="11">
        <v>0.23200000000000001</v>
      </c>
      <c r="C250">
        <f t="shared" si="18"/>
        <v>-30.357142857142861</v>
      </c>
      <c r="D250" s="8">
        <f t="shared" si="19"/>
        <v>27.874688885379783</v>
      </c>
      <c r="E250" s="8">
        <f t="shared" si="19"/>
        <v>1.1402441683494686</v>
      </c>
      <c r="F250" s="8">
        <f t="shared" si="19"/>
        <v>-113.18652026434927</v>
      </c>
      <c r="G250" s="8">
        <f t="shared" si="19"/>
        <v>-26.373040528698539</v>
      </c>
      <c r="H250" s="8">
        <f t="shared" si="19"/>
        <v>147.25391894260292</v>
      </c>
    </row>
    <row r="251" spans="1:8" x14ac:dyDescent="0.2">
      <c r="A251" s="11"/>
      <c r="B251" s="11">
        <v>0.23300000000000001</v>
      </c>
      <c r="C251">
        <f t="shared" si="18"/>
        <v>-30.494728304947301</v>
      </c>
      <c r="D251" s="8">
        <f t="shared" si="19"/>
        <v>27.346218714466147</v>
      </c>
      <c r="E251" s="8">
        <f t="shared" si="19"/>
        <v>0.73147601243974947</v>
      </c>
      <c r="F251" s="8">
        <f t="shared" si="19"/>
        <v>-113.46781117861232</v>
      </c>
      <c r="G251" s="8">
        <f t="shared" si="19"/>
        <v>-26.935622357224645</v>
      </c>
      <c r="H251" s="8">
        <f t="shared" si="19"/>
        <v>146.12875528555071</v>
      </c>
    </row>
    <row r="252" spans="1:8" x14ac:dyDescent="0.2">
      <c r="A252" s="11"/>
      <c r="B252" s="11">
        <v>0.23400000000000001</v>
      </c>
      <c r="C252">
        <f t="shared" si="18"/>
        <v>-30.632090761750391</v>
      </c>
      <c r="D252" s="8">
        <f t="shared" si="19"/>
        <v>26.819498351138023</v>
      </c>
      <c r="E252" s="8">
        <f t="shared" si="19"/>
        <v>0.3240558749688347</v>
      </c>
      <c r="F252" s="8">
        <f t="shared" si="19"/>
        <v>-113.74796372526188</v>
      </c>
      <c r="G252" s="8">
        <f t="shared" si="19"/>
        <v>-27.495927450523766</v>
      </c>
      <c r="H252" s="8">
        <f t="shared" si="19"/>
        <v>145.00814509895247</v>
      </c>
    </row>
    <row r="253" spans="1:8" x14ac:dyDescent="0.2">
      <c r="A253" s="11"/>
      <c r="B253" s="11">
        <v>0.23499999999999999</v>
      </c>
      <c r="C253">
        <f t="shared" si="18"/>
        <v>-30.769230769230745</v>
      </c>
      <c r="D253" s="8">
        <f t="shared" si="19"/>
        <v>26.294520367315464</v>
      </c>
      <c r="E253" s="8">
        <f t="shared" si="19"/>
        <v>-8.2022072862137918E-2</v>
      </c>
      <c r="F253" s="8">
        <f t="shared" si="19"/>
        <v>-114.02698342811344</v>
      </c>
      <c r="G253" s="8">
        <f t="shared" si="19"/>
        <v>-28.053966856226879</v>
      </c>
      <c r="H253" s="8">
        <f t="shared" si="19"/>
        <v>143.89206628754624</v>
      </c>
    </row>
    <row r="254" spans="1:8" x14ac:dyDescent="0.2">
      <c r="A254" s="11"/>
      <c r="B254" s="11">
        <v>0.23599999999999999</v>
      </c>
      <c r="C254">
        <f t="shared" si="18"/>
        <v>-30.906148867313902</v>
      </c>
      <c r="D254" s="8">
        <f t="shared" si="19"/>
        <v>25.771277373115424</v>
      </c>
      <c r="E254" s="8">
        <f t="shared" si="19"/>
        <v>-0.48676362923043826</v>
      </c>
      <c r="F254" s="8">
        <f t="shared" si="19"/>
        <v>-114.30487577973679</v>
      </c>
      <c r="G254" s="8">
        <f t="shared" si="19"/>
        <v>-28.60975155947358</v>
      </c>
      <c r="H254" s="8">
        <f t="shared" si="19"/>
        <v>142.78049688105284</v>
      </c>
    </row>
    <row r="255" spans="1:8" x14ac:dyDescent="0.2">
      <c r="A255" s="11"/>
      <c r="B255" s="11">
        <v>0.23699999999999999</v>
      </c>
      <c r="C255">
        <f t="shared" si="18"/>
        <v>-31.042845594179482</v>
      </c>
      <c r="D255" s="8">
        <f t="shared" si="19"/>
        <v>25.249762016622704</v>
      </c>
      <c r="E255" s="8">
        <f t="shared" si="19"/>
        <v>-0.89017456187914945</v>
      </c>
      <c r="F255" s="8">
        <f t="shared" si="19"/>
        <v>-114.58164624165759</v>
      </c>
      <c r="G255" s="8">
        <f t="shared" si="19"/>
        <v>-29.163292483315189</v>
      </c>
      <c r="H255" s="8">
        <f t="shared" si="19"/>
        <v>141.67341503336962</v>
      </c>
    </row>
    <row r="256" spans="1:8" x14ac:dyDescent="0.2">
      <c r="A256" s="11"/>
      <c r="B256" s="11">
        <v>0.23799999999999999</v>
      </c>
      <c r="C256">
        <f t="shared" si="18"/>
        <v>-31.179321486268179</v>
      </c>
      <c r="D256" s="8">
        <f t="shared" si="19"/>
        <v>24.72996698366137</v>
      </c>
      <c r="E256" s="8">
        <f t="shared" si="19"/>
        <v>-1.2922606083041615</v>
      </c>
      <c r="F256" s="8">
        <f t="shared" si="19"/>
        <v>-114.85730024455793</v>
      </c>
      <c r="G256" s="8">
        <f t="shared" si="19"/>
        <v>-29.714600489115867</v>
      </c>
      <c r="H256" s="8">
        <f t="shared" si="19"/>
        <v>140.57079902176827</v>
      </c>
    </row>
    <row r="257" spans="1:8" x14ac:dyDescent="0.2">
      <c r="A257" s="11"/>
      <c r="B257" s="11">
        <v>0.23899999999999999</v>
      </c>
      <c r="C257">
        <f t="shared" si="18"/>
        <v>-31.315577078288925</v>
      </c>
      <c r="D257" s="8">
        <f t="shared" si="19"/>
        <v>24.211884997567672</v>
      </c>
      <c r="E257" s="8">
        <f t="shared" si="19"/>
        <v>-1.6930274759396085</v>
      </c>
      <c r="F257" s="8">
        <f t="shared" si="19"/>
        <v>-115.13184318847537</v>
      </c>
      <c r="G257" s="8">
        <f t="shared" si="19"/>
        <v>-30.263686376950744</v>
      </c>
      <c r="H257" s="8">
        <f t="shared" si="19"/>
        <v>139.47262724609851</v>
      </c>
    </row>
    <row r="258" spans="1:8" x14ac:dyDescent="0.2">
      <c r="A258" s="11"/>
      <c r="B258" s="11">
        <v>0.24</v>
      </c>
      <c r="C258">
        <f t="shared" si="18"/>
        <v>-31.451612903225794</v>
      </c>
      <c r="D258" s="8">
        <f t="shared" si="19"/>
        <v>23.695508818965664</v>
      </c>
      <c r="E258" s="8">
        <f t="shared" si="19"/>
        <v>-2.0924808423414518</v>
      </c>
      <c r="F258" s="8">
        <f t="shared" si="19"/>
        <v>-115.40528044300022</v>
      </c>
      <c r="G258" s="8">
        <f t="shared" si="19"/>
        <v>-30.810560886000445</v>
      </c>
      <c r="H258" s="8">
        <f t="shared" si="19"/>
        <v>138.37887822799911</v>
      </c>
    </row>
    <row r="259" spans="1:8" x14ac:dyDescent="0.2">
      <c r="A259" s="11"/>
      <c r="B259" s="11">
        <v>0.24099999999999999</v>
      </c>
      <c r="C259">
        <f t="shared" si="18"/>
        <v>-31.58742949234491</v>
      </c>
      <c r="D259" s="8">
        <f t="shared" si="19"/>
        <v>23.180831245543644</v>
      </c>
      <c r="E259" s="8">
        <f t="shared" si="19"/>
        <v>-2.4906263553701962</v>
      </c>
      <c r="F259" s="8">
        <f t="shared" si="19"/>
        <v>-115.67761734747148</v>
      </c>
      <c r="G259" s="8">
        <f t="shared" si="19"/>
        <v>-31.355234694942965</v>
      </c>
      <c r="H259" s="8">
        <f t="shared" si="19"/>
        <v>137.28953061011407</v>
      </c>
    </row>
    <row r="260" spans="1:8" x14ac:dyDescent="0.2">
      <c r="A260" s="11"/>
      <c r="B260" s="11">
        <v>0.24199999999999999</v>
      </c>
      <c r="C260">
        <f t="shared" si="18"/>
        <v>-31.723027375201298</v>
      </c>
      <c r="D260" s="8">
        <f t="shared" si="19"/>
        <v>22.667845111831902</v>
      </c>
      <c r="E260" s="8">
        <f t="shared" si="19"/>
        <v>-2.8874696333725538</v>
      </c>
      <c r="F260" s="8">
        <f t="shared" si="19"/>
        <v>-115.94885921117167</v>
      </c>
      <c r="G260" s="8">
        <f t="shared" si="19"/>
        <v>-31.897718422343331</v>
      </c>
      <c r="H260" s="8">
        <f t="shared" si="19"/>
        <v>136.20456315531334</v>
      </c>
    </row>
    <row r="261" spans="1:8" x14ac:dyDescent="0.2">
      <c r="A261" s="11"/>
      <c r="B261" s="11">
        <v>0.24299999999999999</v>
      </c>
      <c r="C261">
        <f t="shared" si="18"/>
        <v>-31.858407079646014</v>
      </c>
      <c r="D261" s="8">
        <f t="shared" si="19"/>
        <v>22.156543288982277</v>
      </c>
      <c r="E261" s="8">
        <f t="shared" si="19"/>
        <v>-3.2830162653615247</v>
      </c>
      <c r="F261" s="8">
        <f t="shared" si="19"/>
        <v>-116.21901131352</v>
      </c>
      <c r="G261" s="8">
        <f t="shared" si="19"/>
        <v>-32.438022627039999</v>
      </c>
      <c r="H261" s="8">
        <f t="shared" si="19"/>
        <v>135.12395474592</v>
      </c>
    </row>
    <row r="262" spans="1:8" x14ac:dyDescent="0.2">
      <c r="A262" s="11"/>
      <c r="B262" s="11">
        <v>0.24399999999999999</v>
      </c>
      <c r="C262">
        <f t="shared" si="18"/>
        <v>-31.9935691318328</v>
      </c>
      <c r="D262" s="8">
        <f t="shared" si="19"/>
        <v>21.6469186845491</v>
      </c>
      <c r="E262" s="8">
        <f t="shared" si="19"/>
        <v>-3.6772718111954177</v>
      </c>
      <c r="F262" s="8">
        <f t="shared" si="19"/>
        <v>-116.48807890426424</v>
      </c>
      <c r="G262" s="8">
        <f t="shared" si="19"/>
        <v>-32.976157808528484</v>
      </c>
      <c r="H262" s="8">
        <f t="shared" si="19"/>
        <v>134.04768438294303</v>
      </c>
    </row>
    <row r="263" spans="1:8" x14ac:dyDescent="0.2">
      <c r="A263" s="11"/>
      <c r="B263" s="11">
        <v>0.245</v>
      </c>
      <c r="C263">
        <f t="shared" si="18"/>
        <v>-32.128514056224901</v>
      </c>
      <c r="D263" s="8">
        <f t="shared" si="19"/>
        <v>21.138964242272337</v>
      </c>
      <c r="E263" s="8">
        <f t="shared" si="19"/>
        <v>-4.0702418017550599</v>
      </c>
      <c r="F263" s="8">
        <f t="shared" si="19"/>
        <v>-116.75606720367085</v>
      </c>
      <c r="G263" s="8">
        <f t="shared" si="19"/>
        <v>-33.512134407341705</v>
      </c>
      <c r="H263" s="8">
        <f t="shared" si="19"/>
        <v>132.97573118531659</v>
      </c>
    </row>
    <row r="264" spans="1:8" x14ac:dyDescent="0.2">
      <c r="A264" s="11"/>
      <c r="B264" s="11">
        <v>0.246</v>
      </c>
      <c r="C264">
        <f t="shared" si="18"/>
        <v>-32.263242375601919</v>
      </c>
      <c r="D264" s="8">
        <f t="shared" si="19"/>
        <v>20.632672941860967</v>
      </c>
      <c r="E264" s="8">
        <f t="shared" si="19"/>
        <v>-4.4619317391206721</v>
      </c>
      <c r="F264" s="8">
        <f t="shared" si="19"/>
        <v>-117.02298140271435</v>
      </c>
      <c r="G264" s="8">
        <f t="shared" si="19"/>
        <v>-34.045962805428701</v>
      </c>
      <c r="H264" s="8">
        <f t="shared" si="19"/>
        <v>131.9080743891426</v>
      </c>
    </row>
    <row r="265" spans="1:8" x14ac:dyDescent="0.2">
      <c r="A265" s="11"/>
      <c r="B265" s="11">
        <v>0.247</v>
      </c>
      <c r="C265">
        <f t="shared" si="18"/>
        <v>-32.397754611066546</v>
      </c>
      <c r="D265" s="8">
        <f t="shared" si="19"/>
        <v>20.128037798778685</v>
      </c>
      <c r="E265" s="8">
        <f t="shared" si="19"/>
        <v>-4.8523470967469606</v>
      </c>
      <c r="F265" s="8">
        <f t="shared" si="19"/>
        <v>-117.28882666326494</v>
      </c>
      <c r="G265" s="8">
        <f t="shared" si="19"/>
        <v>-34.577653326529884</v>
      </c>
      <c r="H265" s="8">
        <f t="shared" si="19"/>
        <v>130.84469334694023</v>
      </c>
    </row>
    <row r="266" spans="1:8" x14ac:dyDescent="0.2">
      <c r="A266" s="11"/>
      <c r="B266" s="11">
        <v>0.248</v>
      </c>
      <c r="C266">
        <f t="shared" si="18"/>
        <v>-32.53205128205127</v>
      </c>
      <c r="D266" s="8">
        <f t="shared" si="19"/>
        <v>19.625051864030674</v>
      </c>
      <c r="E266" s="8">
        <f t="shared" si="19"/>
        <v>-5.2414933196372786</v>
      </c>
      <c r="F266" s="8">
        <f t="shared" si="19"/>
        <v>-117.55360811827489</v>
      </c>
      <c r="G266" s="8">
        <f t="shared" si="19"/>
        <v>-35.107216236549789</v>
      </c>
      <c r="H266" s="8">
        <f t="shared" si="19"/>
        <v>129.78556752690042</v>
      </c>
    </row>
    <row r="267" spans="1:8" x14ac:dyDescent="0.2">
      <c r="A267" s="11"/>
      <c r="B267" s="11">
        <v>0.249</v>
      </c>
      <c r="C267">
        <f t="shared" si="18"/>
        <v>-32.666132906325089</v>
      </c>
      <c r="D267" s="8">
        <f t="shared" si="19"/>
        <v>19.12370822395264</v>
      </c>
      <c r="E267" s="8">
        <f t="shared" si="19"/>
        <v>-5.6293758245158898</v>
      </c>
      <c r="F267" s="8">
        <f t="shared" si="19"/>
        <v>-117.81733087196331</v>
      </c>
      <c r="G267" s="8">
        <f t="shared" si="19"/>
        <v>-35.634661743926614</v>
      </c>
      <c r="H267" s="8">
        <f t="shared" si="19"/>
        <v>128.73067651214677</v>
      </c>
    </row>
    <row r="268" spans="1:8" x14ac:dyDescent="0.2">
      <c r="A268" s="11"/>
      <c r="B268" s="11">
        <v>0.25</v>
      </c>
      <c r="C268">
        <f t="shared" si="18"/>
        <v>-32.800000000000011</v>
      </c>
      <c r="D268" s="8">
        <f t="shared" si="19"/>
        <v>18.624000000000002</v>
      </c>
      <c r="E268" s="8">
        <f t="shared" si="19"/>
        <v>-6.0159999999999982</v>
      </c>
      <c r="F268" s="8">
        <f t="shared" si="19"/>
        <v>-118.08</v>
      </c>
      <c r="G268" s="8">
        <f t="shared" si="19"/>
        <v>-36.159999999999997</v>
      </c>
      <c r="H268" s="8">
        <f t="shared" si="19"/>
        <v>127.68</v>
      </c>
    </row>
    <row r="269" spans="1:8" x14ac:dyDescent="0.2">
      <c r="A269" s="11"/>
      <c r="B269" s="11">
        <v>0.251</v>
      </c>
      <c r="C269">
        <f t="shared" si="18"/>
        <v>-32.933653077537969</v>
      </c>
      <c r="D269" s="8">
        <f t="shared" si="19"/>
        <v>18.125920348539381</v>
      </c>
      <c r="E269" s="8">
        <f t="shared" si="19"/>
        <v>-6.4013712067701434</v>
      </c>
      <c r="F269" s="8">
        <f t="shared" si="19"/>
        <v>-118.34162054968786</v>
      </c>
      <c r="G269" s="8">
        <f t="shared" si="19"/>
        <v>-36.683241099375721</v>
      </c>
      <c r="H269" s="8">
        <f t="shared" si="19"/>
        <v>126.63351780124856</v>
      </c>
    </row>
    <row r="270" spans="1:8" x14ac:dyDescent="0.2">
      <c r="A270" s="11"/>
      <c r="B270" s="11">
        <v>0.252</v>
      </c>
      <c r="C270">
        <f t="shared" si="18"/>
        <v>-33.067092651757179</v>
      </c>
      <c r="D270" s="8">
        <f t="shared" si="19"/>
        <v>17.629462460641129</v>
      </c>
      <c r="E270" s="8">
        <f t="shared" si="19"/>
        <v>-6.7854947777393946</v>
      </c>
      <c r="F270" s="8">
        <f t="shared" si="19"/>
        <v>-118.60219754014392</v>
      </c>
      <c r="G270" s="8">
        <f t="shared" si="19"/>
        <v>-37.204395080287838</v>
      </c>
      <c r="H270" s="8">
        <f t="shared" si="19"/>
        <v>125.59120983942432</v>
      </c>
    </row>
    <row r="271" spans="1:8" x14ac:dyDescent="0.2">
      <c r="A271" s="11"/>
      <c r="B271" s="11">
        <v>0.253</v>
      </c>
      <c r="C271">
        <f t="shared" si="18"/>
        <v>-33.200319233838798</v>
      </c>
      <c r="D271" s="8">
        <f t="shared" si="19"/>
        <v>17.134619561873983</v>
      </c>
      <c r="E271" s="8">
        <f t="shared" si="19"/>
        <v>-7.1683760182211103</v>
      </c>
      <c r="F271" s="8">
        <f t="shared" si="19"/>
        <v>-118.86173596247879</v>
      </c>
      <c r="G271" s="8">
        <f t="shared" si="19"/>
        <v>-37.723471924957579</v>
      </c>
      <c r="H271" s="8">
        <f t="shared" si="19"/>
        <v>124.55305615008484</v>
      </c>
    </row>
    <row r="272" spans="1:8" x14ac:dyDescent="0.2">
      <c r="A272" s="11"/>
      <c r="B272" s="11">
        <v>0.254</v>
      </c>
      <c r="C272">
        <f t="shared" si="18"/>
        <v>-33.333333333333343</v>
      </c>
      <c r="D272" s="8">
        <f t="shared" si="19"/>
        <v>16.641384912100023</v>
      </c>
      <c r="E272" s="8">
        <f t="shared" si="19"/>
        <v>-7.5500202060961072</v>
      </c>
      <c r="F272" s="8">
        <f t="shared" si="19"/>
        <v>-119.12024077997545</v>
      </c>
      <c r="G272" s="8">
        <f t="shared" si="19"/>
        <v>-38.240481559950894</v>
      </c>
      <c r="H272" s="8">
        <f t="shared" si="19"/>
        <v>123.51903688009821</v>
      </c>
    </row>
    <row r="273" spans="1:8" x14ac:dyDescent="0.2">
      <c r="A273" s="11"/>
      <c r="B273" s="11">
        <v>0.255</v>
      </c>
      <c r="C273">
        <f t="shared" si="18"/>
        <v>-33.466135458167315</v>
      </c>
      <c r="D273" s="8">
        <f t="shared" si="19"/>
        <v>16.149751805271599</v>
      </c>
      <c r="E273" s="8">
        <f t="shared" si="19"/>
        <v>-7.9304325919785228</v>
      </c>
      <c r="F273" s="8">
        <f t="shared" si="19"/>
        <v>-119.37771692826637</v>
      </c>
      <c r="G273" s="8">
        <f t="shared" si="19"/>
        <v>-38.755433856532733</v>
      </c>
      <c r="H273" s="8">
        <f t="shared" si="19"/>
        <v>122.48913228693453</v>
      </c>
    </row>
    <row r="274" spans="1:8" x14ac:dyDescent="0.2">
      <c r="A274" s="11"/>
      <c r="B274" s="11">
        <v>0.25600000000000001</v>
      </c>
      <c r="C274">
        <f t="shared" si="18"/>
        <v>-33.598726114649679</v>
      </c>
      <c r="D274" s="8">
        <f t="shared" si="19"/>
        <v>15.659713569229652</v>
      </c>
      <c r="E274" s="8">
        <f t="shared" si="19"/>
        <v>-8.3096183993803123</v>
      </c>
      <c r="F274" s="8">
        <f t="shared" si="19"/>
        <v>-119.63416931550935</v>
      </c>
      <c r="G274" s="8">
        <f t="shared" si="19"/>
        <v>-39.268338631018707</v>
      </c>
      <c r="H274" s="8">
        <f t="shared" si="19"/>
        <v>121.46332273796259</v>
      </c>
    </row>
    <row r="275" spans="1:8" x14ac:dyDescent="0.2">
      <c r="A275" s="11"/>
      <c r="B275" s="11">
        <v>0.25700000000000001</v>
      </c>
      <c r="C275">
        <f t="shared" si="18"/>
        <v>-33.731105807478144</v>
      </c>
      <c r="D275" s="8">
        <f t="shared" si="19"/>
        <v>15.171263565503601</v>
      </c>
      <c r="E275" s="8">
        <f t="shared" si="19"/>
        <v>-8.6875828248744469</v>
      </c>
      <c r="F275" s="8">
        <f t="shared" si="19"/>
        <v>-119.88960282256213</v>
      </c>
      <c r="G275" s="8">
        <f t="shared" si="19"/>
        <v>-39.77920564512425</v>
      </c>
      <c r="H275" s="8">
        <f t="shared" si="19"/>
        <v>120.4415887097515</v>
      </c>
    </row>
    <row r="276" spans="1:8" x14ac:dyDescent="0.2">
      <c r="A276" s="11"/>
      <c r="B276" s="11">
        <v>0.25800000000000001</v>
      </c>
      <c r="C276">
        <f t="shared" ref="C276:C339" si="20">$C$5+$C$6/(1+$B276)</f>
        <v>-33.863275039745616</v>
      </c>
      <c r="D276" s="8">
        <f t="shared" si="19"/>
        <v>14.684395189112017</v>
      </c>
      <c r="E276" s="8">
        <f t="shared" si="19"/>
        <v>-9.0643310382575706</v>
      </c>
      <c r="F276" s="8">
        <f t="shared" si="19"/>
        <v>-120.14402230315577</v>
      </c>
      <c r="G276" s="8">
        <f t="shared" si="19"/>
        <v>-40.28804460631153</v>
      </c>
      <c r="H276" s="8">
        <f t="shared" si="19"/>
        <v>119.42391078737694</v>
      </c>
    </row>
    <row r="277" spans="1:8" x14ac:dyDescent="0.2">
      <c r="A277" s="11"/>
      <c r="B277" s="11">
        <v>0.25900000000000001</v>
      </c>
      <c r="C277">
        <f t="shared" si="20"/>
        <v>-33.995234312946764</v>
      </c>
      <c r="D277" s="8">
        <f t="shared" si="19"/>
        <v>14.199101868364934</v>
      </c>
      <c r="E277" s="8">
        <f t="shared" si="19"/>
        <v>-9.4398681827111943</v>
      </c>
      <c r="F277" s="8">
        <f t="shared" si="19"/>
        <v>-120.39743258406702</v>
      </c>
      <c r="G277" s="8">
        <f t="shared" si="19"/>
        <v>-40.794865168134038</v>
      </c>
      <c r="H277" s="8">
        <f t="shared" si="19"/>
        <v>118.41026966373192</v>
      </c>
    </row>
    <row r="278" spans="1:8" x14ac:dyDescent="0.2">
      <c r="A278" s="11"/>
      <c r="B278" s="11">
        <v>0.26</v>
      </c>
      <c r="C278">
        <f t="shared" si="20"/>
        <v>-34.126984126984127</v>
      </c>
      <c r="D278" s="8">
        <f t="shared" si="19"/>
        <v>13.715377064667386</v>
      </c>
      <c r="E278" s="8">
        <f t="shared" si="19"/>
        <v>-9.81419937496198</v>
      </c>
      <c r="F278" s="8">
        <f t="shared" si="19"/>
        <v>-120.64983846528916</v>
      </c>
      <c r="G278" s="8">
        <f t="shared" si="19"/>
        <v>-41.299676930578329</v>
      </c>
      <c r="H278" s="8">
        <f t="shared" si="19"/>
        <v>117.40064613884334</v>
      </c>
    </row>
    <row r="279" spans="1:8" x14ac:dyDescent="0.2">
      <c r="A279" s="11"/>
      <c r="B279" s="11">
        <v>0.26100000000000001</v>
      </c>
      <c r="C279">
        <f t="shared" si="20"/>
        <v>-34.258524980174485</v>
      </c>
      <c r="D279" s="8">
        <f t="shared" si="19"/>
        <v>13.233214272324929</v>
      </c>
      <c r="E279" s="8">
        <f t="shared" si="19"/>
        <v>-10.187329705440192</v>
      </c>
      <c r="F279" s="8">
        <f t="shared" si="19"/>
        <v>-120.90124472020155</v>
      </c>
      <c r="G279" s="8">
        <f t="shared" si="19"/>
        <v>-41.802489440403093</v>
      </c>
      <c r="H279" s="8">
        <f t="shared" si="19"/>
        <v>116.39502111919381</v>
      </c>
    </row>
    <row r="280" spans="1:8" x14ac:dyDescent="0.2">
      <c r="A280" s="11"/>
      <c r="B280" s="11">
        <v>0.26200000000000001</v>
      </c>
      <c r="C280">
        <f t="shared" si="20"/>
        <v>-34.389857369255139</v>
      </c>
      <c r="D280" s="8">
        <f t="shared" si="19"/>
        <v>12.75260701834948</v>
      </c>
      <c r="E280" s="8">
        <f t="shared" si="19"/>
        <v>-10.559264238438217</v>
      </c>
      <c r="F280" s="8">
        <f t="shared" si="19"/>
        <v>-121.15165609573822</v>
      </c>
      <c r="G280" s="8">
        <f t="shared" si="19"/>
        <v>-42.303312191476437</v>
      </c>
      <c r="H280" s="8">
        <f t="shared" si="19"/>
        <v>115.39337561704713</v>
      </c>
    </row>
    <row r="281" spans="1:8" x14ac:dyDescent="0.2">
      <c r="A281" s="11"/>
      <c r="B281" s="11">
        <v>0.26300000000000001</v>
      </c>
      <c r="C281">
        <f t="shared" si="20"/>
        <v>-34.520981789390333</v>
      </c>
      <c r="D281" s="8">
        <f t="shared" si="19"/>
        <v>12.273548862266736</v>
      </c>
      <c r="E281" s="8">
        <f t="shared" si="19"/>
        <v>-10.930008012267351</v>
      </c>
      <c r="F281" s="8">
        <f t="shared" si="19"/>
        <v>-121.40107731255543</v>
      </c>
      <c r="G281" s="8">
        <f t="shared" si="19"/>
        <v>-42.802154625110859</v>
      </c>
      <c r="H281" s="8">
        <f t="shared" si="19"/>
        <v>114.39569074977828</v>
      </c>
    </row>
    <row r="282" spans="1:8" x14ac:dyDescent="0.2">
      <c r="A282" s="11"/>
      <c r="B282" s="11">
        <v>0.26400000000000001</v>
      </c>
      <c r="C282">
        <f t="shared" si="20"/>
        <v>-34.651898734177223</v>
      </c>
      <c r="D282" s="8">
        <f t="shared" si="19"/>
        <v>11.79603339592542</v>
      </c>
      <c r="E282" s="8">
        <f t="shared" si="19"/>
        <v>-11.299566039413378</v>
      </c>
      <c r="F282" s="8">
        <f t="shared" si="19"/>
        <v>-121.64951306519748</v>
      </c>
      <c r="G282" s="8">
        <f t="shared" si="19"/>
        <v>-43.299026130394964</v>
      </c>
      <c r="H282" s="8">
        <f t="shared" si="19"/>
        <v>113.40194773921007</v>
      </c>
    </row>
    <row r="283" spans="1:8" x14ac:dyDescent="0.2">
      <c r="A283" s="11"/>
      <c r="B283" s="11">
        <v>0.26500000000000001</v>
      </c>
      <c r="C283">
        <f t="shared" si="20"/>
        <v>-34.782608695652186</v>
      </c>
      <c r="D283" s="8">
        <f t="shared" si="19"/>
        <v>11.320054243307411</v>
      </c>
      <c r="E283" s="8">
        <f t="shared" si="19"/>
        <v>-11.667943306691271</v>
      </c>
      <c r="F283" s="8">
        <f t="shared" si="19"/>
        <v>-121.89696802226172</v>
      </c>
      <c r="G283" s="8">
        <f t="shared" si="19"/>
        <v>-43.793936044523434</v>
      </c>
      <c r="H283" s="8">
        <f t="shared" si="19"/>
        <v>112.41212791095313</v>
      </c>
    </row>
    <row r="284" spans="1:8" x14ac:dyDescent="0.2">
      <c r="A284" s="11"/>
      <c r="B284" s="11">
        <v>0.26600000000000001</v>
      </c>
      <c r="C284">
        <f t="shared" si="20"/>
        <v>-34.91311216429699</v>
      </c>
      <c r="D284" s="8">
        <f t="shared" si="19"/>
        <v>10.845605060339125</v>
      </c>
      <c r="E284" s="8">
        <f t="shared" si="19"/>
        <v>-12.03514477539899</v>
      </c>
      <c r="F284" s="8">
        <f t="shared" si="19"/>
        <v>-122.14344682656237</v>
      </c>
      <c r="G284" s="8">
        <f t="shared" si="19"/>
        <v>-44.286893653124736</v>
      </c>
      <c r="H284" s="8">
        <f t="shared" si="19"/>
        <v>111.42621269375053</v>
      </c>
    </row>
    <row r="285" spans="1:8" x14ac:dyDescent="0.2">
      <c r="A285" s="11"/>
      <c r="B285" s="11">
        <v>0.26700000000000002</v>
      </c>
      <c r="C285">
        <f t="shared" si="20"/>
        <v>-35.043409629044987</v>
      </c>
      <c r="D285" s="8">
        <f t="shared" si="19"/>
        <v>10.372679534704055</v>
      </c>
      <c r="E285" s="8">
        <f t="shared" si="19"/>
        <v>-12.401175381470189</v>
      </c>
      <c r="F285" s="8">
        <f t="shared" si="19"/>
        <v>-122.38895409529312</v>
      </c>
      <c r="G285" s="8">
        <f t="shared" si="19"/>
        <v>-44.777908190586231</v>
      </c>
      <c r="H285" s="8">
        <f t="shared" si="19"/>
        <v>110.44418361882754</v>
      </c>
    </row>
    <row r="286" spans="1:8" x14ac:dyDescent="0.2">
      <c r="A286" s="11"/>
      <c r="B286" s="11">
        <v>0.26800000000000002</v>
      </c>
      <c r="C286">
        <f t="shared" si="20"/>
        <v>-35.173501577287055</v>
      </c>
      <c r="D286" s="8">
        <f t="shared" si="19"/>
        <v>9.9012713856567558</v>
      </c>
      <c r="E286" s="8">
        <f t="shared" si="19"/>
        <v>-12.76604003562565</v>
      </c>
      <c r="F286" s="8">
        <f t="shared" si="19"/>
        <v>-122.63349442018864</v>
      </c>
      <c r="G286" s="8">
        <f t="shared" si="19"/>
        <v>-45.26698884037728</v>
      </c>
      <c r="H286" s="8">
        <f t="shared" si="19"/>
        <v>109.46602231924544</v>
      </c>
    </row>
    <row r="287" spans="1:8" x14ac:dyDescent="0.2">
      <c r="A287" s="11"/>
      <c r="B287" s="11">
        <v>0.26900000000000002</v>
      </c>
      <c r="C287">
        <f t="shared" si="20"/>
        <v>-35.303388494877879</v>
      </c>
      <c r="D287" s="8">
        <f t="shared" ref="D287:H337" si="21">$D$5+(D$6/(1+$B287))+(D$7/(1+$B287)^2)+(D$8/(1+$B287)^3)+(D$9/(1+$B287)^4)</f>
        <v>9.4313743638384651</v>
      </c>
      <c r="E287" s="8">
        <f t="shared" si="21"/>
        <v>-13.129743623523773</v>
      </c>
      <c r="F287" s="8">
        <f t="shared" si="21"/>
        <v>-122.8770723676847</v>
      </c>
      <c r="G287" s="8">
        <f t="shared" si="21"/>
        <v>-45.754144735369408</v>
      </c>
      <c r="H287" s="8">
        <f t="shared" si="21"/>
        <v>108.49171052926118</v>
      </c>
    </row>
    <row r="288" spans="1:8" x14ac:dyDescent="0.2">
      <c r="A288" s="11"/>
      <c r="B288" s="11">
        <v>0.27</v>
      </c>
      <c r="C288">
        <f t="shared" si="20"/>
        <v>-35.433070866141748</v>
      </c>
      <c r="D288" s="8">
        <f t="shared" si="21"/>
        <v>8.9629822510931731</v>
      </c>
      <c r="E288" s="8">
        <f t="shared" si="21"/>
        <v>-13.492291005910054</v>
      </c>
      <c r="F288" s="8">
        <f t="shared" si="21"/>
        <v>-123.11969247907743</v>
      </c>
      <c r="G288" s="8">
        <f t="shared" si="21"/>
        <v>-46.239384958154858</v>
      </c>
      <c r="H288" s="8">
        <f t="shared" si="21"/>
        <v>107.52123008369028</v>
      </c>
    </row>
    <row r="289" spans="1:8" x14ac:dyDescent="0.2">
      <c r="A289" s="11"/>
      <c r="B289" s="11">
        <v>0.27100000000000002</v>
      </c>
      <c r="C289">
        <f t="shared" si="20"/>
        <v>-35.562549173878836</v>
      </c>
      <c r="D289" s="8">
        <f t="shared" si="21"/>
        <v>8.4960888602850702</v>
      </c>
      <c r="E289" s="8">
        <f t="shared" si="21"/>
        <v>-13.853687018765967</v>
      </c>
      <c r="F289" s="8">
        <f t="shared" si="21"/>
        <v>-123.36135927068159</v>
      </c>
      <c r="G289" s="8">
        <f t="shared" si="21"/>
        <v>-46.722718541363179</v>
      </c>
      <c r="H289" s="8">
        <f t="shared" si="21"/>
        <v>106.55456291727364</v>
      </c>
    </row>
    <row r="290" spans="1:8" x14ac:dyDescent="0.2">
      <c r="A290" s="11"/>
      <c r="B290" s="11">
        <v>0.27200000000000002</v>
      </c>
      <c r="C290">
        <f t="shared" si="20"/>
        <v>-35.691823899371059</v>
      </c>
      <c r="D290" s="8">
        <f t="shared" si="21"/>
        <v>8.0306880351178478</v>
      </c>
      <c r="E290" s="8">
        <f t="shared" si="21"/>
        <v>-14.213936473456101</v>
      </c>
      <c r="F290" s="8">
        <f t="shared" si="21"/>
        <v>-123.60207723398722</v>
      </c>
      <c r="G290" s="8">
        <f t="shared" si="21"/>
        <v>-47.204154467974433</v>
      </c>
      <c r="H290" s="8">
        <f t="shared" si="21"/>
        <v>105.59169106405113</v>
      </c>
    </row>
    <row r="291" spans="1:8" x14ac:dyDescent="0.2">
      <c r="A291" s="11"/>
      <c r="B291" s="11">
        <v>0.27300000000000002</v>
      </c>
      <c r="C291">
        <f t="shared" si="20"/>
        <v>-35.820895522388071</v>
      </c>
      <c r="D291" s="8">
        <f t="shared" si="21"/>
        <v>7.5667736499547544</v>
      </c>
      <c r="E291" s="8">
        <f t="shared" si="21"/>
        <v>-14.573044156874644</v>
      </c>
      <c r="F291" s="8">
        <f t="shared" si="21"/>
        <v>-123.84185083581548</v>
      </c>
      <c r="G291" s="8">
        <f t="shared" si="21"/>
        <v>-47.683701671630956</v>
      </c>
      <c r="H291" s="8">
        <f t="shared" si="21"/>
        <v>104.63259665673809</v>
      </c>
    </row>
    <row r="292" spans="1:8" x14ac:dyDescent="0.2">
      <c r="A292" s="11"/>
      <c r="B292" s="11">
        <v>0.27400000000000002</v>
      </c>
      <c r="C292">
        <f t="shared" si="20"/>
        <v>-35.949764521193089</v>
      </c>
      <c r="D292" s="8">
        <f t="shared" si="21"/>
        <v>7.1043396096398439</v>
      </c>
      <c r="E292" s="8">
        <f t="shared" si="21"/>
        <v>-14.931014831590851</v>
      </c>
      <c r="F292" s="8">
        <f t="shared" si="21"/>
        <v>-124.08068451847346</v>
      </c>
      <c r="G292" s="8">
        <f t="shared" si="21"/>
        <v>-48.161369036946923</v>
      </c>
      <c r="H292" s="8">
        <f t="shared" si="21"/>
        <v>103.67726192610615</v>
      </c>
    </row>
    <row r="293" spans="1:8" x14ac:dyDescent="0.2">
      <c r="A293" s="11"/>
      <c r="B293" s="11">
        <v>0.27500000000000002</v>
      </c>
      <c r="C293">
        <f t="shared" si="20"/>
        <v>-36.078431372549005</v>
      </c>
      <c r="D293" s="8">
        <f t="shared" si="21"/>
        <v>6.6433798493200982</v>
      </c>
      <c r="E293" s="8">
        <f t="shared" si="21"/>
        <v>-15.287853235993992</v>
      </c>
      <c r="F293" s="8">
        <f t="shared" si="21"/>
        <v>-124.31858269990794</v>
      </c>
      <c r="G293" s="8">
        <f t="shared" si="21"/>
        <v>-48.637165399815871</v>
      </c>
      <c r="H293" s="8">
        <f t="shared" si="21"/>
        <v>102.72566920036826</v>
      </c>
    </row>
    <row r="294" spans="1:8" x14ac:dyDescent="0.2">
      <c r="A294" s="11"/>
      <c r="B294" s="11">
        <v>0.27600000000000002</v>
      </c>
      <c r="C294">
        <f t="shared" si="20"/>
        <v>-36.206896551724128</v>
      </c>
      <c r="D294" s="8">
        <f t="shared" si="21"/>
        <v>6.1838883342695112</v>
      </c>
      <c r="E294" s="8">
        <f t="shared" si="21"/>
        <v>-15.643564084436434</v>
      </c>
      <c r="F294" s="8">
        <f t="shared" si="21"/>
        <v>-124.55554977385771</v>
      </c>
      <c r="G294" s="8">
        <f t="shared" si="21"/>
        <v>-49.111099547715412</v>
      </c>
      <c r="H294" s="8">
        <f t="shared" si="21"/>
        <v>101.77780090456918</v>
      </c>
    </row>
    <row r="295" spans="1:8" x14ac:dyDescent="0.2">
      <c r="A295" s="11"/>
      <c r="B295" s="11">
        <v>0.27700000000000002</v>
      </c>
      <c r="C295">
        <f t="shared" si="20"/>
        <v>-36.335160532498065</v>
      </c>
      <c r="D295" s="8">
        <f t="shared" si="21"/>
        <v>5.7258590597138905</v>
      </c>
      <c r="E295" s="8">
        <f t="shared" si="21"/>
        <v>-15.99815206737626</v>
      </c>
      <c r="F295" s="8">
        <f t="shared" si="21"/>
        <v>-124.79159011000512</v>
      </c>
      <c r="G295" s="8">
        <f t="shared" si="21"/>
        <v>-49.583180220010235</v>
      </c>
      <c r="H295" s="8">
        <f t="shared" si="21"/>
        <v>100.83363955997953</v>
      </c>
    </row>
    <row r="296" spans="1:8" x14ac:dyDescent="0.2">
      <c r="A296" s="11"/>
      <c r="B296" s="11">
        <v>0.27800000000000002</v>
      </c>
      <c r="C296">
        <f t="shared" si="20"/>
        <v>-36.463223787167465</v>
      </c>
      <c r="D296" s="8">
        <f t="shared" si="21"/>
        <v>5.2692860506567953</v>
      </c>
      <c r="E296" s="8">
        <f t="shared" si="21"/>
        <v>-16.35162185151885</v>
      </c>
      <c r="F296" s="8">
        <f t="shared" si="21"/>
        <v>-125.02670805412647</v>
      </c>
      <c r="G296" s="8">
        <f t="shared" si="21"/>
        <v>-50.053416108252947</v>
      </c>
      <c r="H296" s="8">
        <f t="shared" si="21"/>
        <v>99.893167783494107</v>
      </c>
    </row>
    <row r="297" spans="1:8" x14ac:dyDescent="0.2">
      <c r="A297" s="11"/>
      <c r="B297" s="11">
        <v>0.27900000000000003</v>
      </c>
      <c r="C297">
        <f t="shared" si="20"/>
        <v>-36.591086786551983</v>
      </c>
      <c r="D297" s="8">
        <f t="shared" si="21"/>
        <v>4.8141633617064201</v>
      </c>
      <c r="E297" s="8">
        <f t="shared" si="21"/>
        <v>-16.703978079957807</v>
      </c>
      <c r="F297" s="8">
        <f t="shared" si="21"/>
        <v>-125.26090792824156</v>
      </c>
      <c r="G297" s="8">
        <f t="shared" si="21"/>
        <v>-50.52181585648313</v>
      </c>
      <c r="H297" s="8">
        <f t="shared" si="21"/>
        <v>98.95636828703374</v>
      </c>
    </row>
    <row r="298" spans="1:8" x14ac:dyDescent="0.2">
      <c r="A298" s="11"/>
      <c r="B298" s="11">
        <v>0.28000000000000003</v>
      </c>
      <c r="C298">
        <f t="shared" si="20"/>
        <v>-36.71875</v>
      </c>
      <c r="D298" s="8">
        <f t="shared" si="21"/>
        <v>4.3604850769042827</v>
      </c>
      <c r="E298" s="8">
        <f t="shared" si="21"/>
        <v>-17.055225372314453</v>
      </c>
      <c r="F298" s="8">
        <f t="shared" si="21"/>
        <v>-125.49419403076172</v>
      </c>
      <c r="G298" s="8">
        <f t="shared" si="21"/>
        <v>-50.988388061523438</v>
      </c>
      <c r="H298" s="8">
        <f t="shared" si="21"/>
        <v>98.023223876953125</v>
      </c>
    </row>
    <row r="299" spans="1:8" x14ac:dyDescent="0.2">
      <c r="A299" s="11"/>
      <c r="B299" s="11">
        <v>0.28100000000000003</v>
      </c>
      <c r="C299">
        <f t="shared" si="20"/>
        <v>-36.846213895394243</v>
      </c>
      <c r="D299" s="8">
        <f t="shared" si="21"/>
        <v>3.9082453095545375</v>
      </c>
      <c r="E299" s="8">
        <f t="shared" si="21"/>
        <v>-17.40536832487637</v>
      </c>
      <c r="F299" s="8">
        <f t="shared" si="21"/>
        <v>-125.72657063663723</v>
      </c>
      <c r="G299" s="8">
        <f t="shared" si="21"/>
        <v>-51.453141273274468</v>
      </c>
      <c r="H299" s="8">
        <f t="shared" si="21"/>
        <v>97.093717453451063</v>
      </c>
    </row>
    <row r="300" spans="1:8" x14ac:dyDescent="0.2">
      <c r="A300" s="11"/>
      <c r="B300" s="11">
        <v>0.28199999999999997</v>
      </c>
      <c r="C300">
        <f t="shared" si="20"/>
        <v>-36.973478939157559</v>
      </c>
      <c r="D300" s="8">
        <f t="shared" si="21"/>
        <v>3.4574382020546253</v>
      </c>
      <c r="E300" s="8">
        <f t="shared" si="21"/>
        <v>-17.754411510735402</v>
      </c>
      <c r="F300" s="8">
        <f t="shared" si="21"/>
        <v>-125.95804199750344</v>
      </c>
      <c r="G300" s="8">
        <f t="shared" si="21"/>
        <v>-51.916083995006886</v>
      </c>
      <c r="H300" s="8">
        <f t="shared" si="21"/>
        <v>96.167832009986228</v>
      </c>
    </row>
    <row r="301" spans="1:8" x14ac:dyDescent="0.2">
      <c r="A301" s="11"/>
      <c r="B301" s="11">
        <v>0.28299999999999997</v>
      </c>
      <c r="C301">
        <f t="shared" si="20"/>
        <v>-37.100545596258769</v>
      </c>
      <c r="D301" s="8">
        <f t="shared" si="21"/>
        <v>3.0080579257265612</v>
      </c>
      <c r="E301" s="8">
        <f t="shared" si="21"/>
        <v>-18.102359479924758</v>
      </c>
      <c r="F301" s="8">
        <f t="shared" si="21"/>
        <v>-126.18861234182617</v>
      </c>
      <c r="G301" s="8">
        <f t="shared" si="21"/>
        <v>-52.377224683652344</v>
      </c>
      <c r="H301" s="8">
        <f t="shared" si="21"/>
        <v>95.245550632695313</v>
      </c>
    </row>
    <row r="302" spans="1:8" x14ac:dyDescent="0.2">
      <c r="A302" s="11"/>
      <c r="B302" s="11">
        <v>0.28399999999999997</v>
      </c>
      <c r="C302">
        <f t="shared" si="20"/>
        <v>-37.227414330218068</v>
      </c>
      <c r="D302" s="8">
        <f t="shared" si="21"/>
        <v>2.5600986806501353</v>
      </c>
      <c r="E302" s="8">
        <f t="shared" si="21"/>
        <v>-18.449216759554666</v>
      </c>
      <c r="F302" s="8">
        <f t="shared" si="21"/>
        <v>-126.4182858750458</v>
      </c>
      <c r="G302" s="8">
        <f t="shared" si="21"/>
        <v>-52.836571750091593</v>
      </c>
      <c r="H302" s="8">
        <f t="shared" si="21"/>
        <v>94.326856499816813</v>
      </c>
    </row>
    <row r="303" spans="1:8" x14ac:dyDescent="0.2">
      <c r="A303" s="11"/>
      <c r="B303" s="11">
        <v>0.28499999999999998</v>
      </c>
      <c r="C303">
        <f t="shared" si="20"/>
        <v>-37.354085603112821</v>
      </c>
      <c r="D303" s="8">
        <f t="shared" si="21"/>
        <v>2.1135546954969939</v>
      </c>
      <c r="E303" s="8">
        <f t="shared" si="21"/>
        <v>-18.794987853947354</v>
      </c>
      <c r="F303" s="8">
        <f t="shared" si="21"/>
        <v>-126.64706677972023</v>
      </c>
      <c r="G303" s="8">
        <f t="shared" si="21"/>
        <v>-53.294133559440468</v>
      </c>
      <c r="H303" s="8">
        <f t="shared" si="21"/>
        <v>93.411732881119065</v>
      </c>
    </row>
    <row r="304" spans="1:8" x14ac:dyDescent="0.2">
      <c r="A304" s="11"/>
      <c r="B304" s="11">
        <v>0.28599999999999998</v>
      </c>
      <c r="C304">
        <f t="shared" si="20"/>
        <v>-37.480559875583197</v>
      </c>
      <c r="D304" s="8">
        <f t="shared" si="21"/>
        <v>1.6684202273649404</v>
      </c>
      <c r="E304" s="8">
        <f t="shared" si="21"/>
        <v>-19.139677244771626</v>
      </c>
      <c r="F304" s="8">
        <f t="shared" si="21"/>
        <v>-126.87495921566753</v>
      </c>
      <c r="G304" s="8">
        <f t="shared" si="21"/>
        <v>-53.749918431335061</v>
      </c>
      <c r="H304" s="8">
        <f t="shared" si="21"/>
        <v>92.500163137329878</v>
      </c>
    </row>
    <row r="305" spans="1:8" x14ac:dyDescent="0.2">
      <c r="A305" s="11"/>
      <c r="B305" s="11">
        <v>0.28699999999999998</v>
      </c>
      <c r="C305">
        <f t="shared" si="20"/>
        <v>-37.606837606837587</v>
      </c>
      <c r="D305" s="8">
        <f t="shared" si="21"/>
        <v>1.2246895616148521</v>
      </c>
      <c r="E305" s="8">
        <f t="shared" si="21"/>
        <v>-19.483289391175504</v>
      </c>
      <c r="F305" s="8">
        <f t="shared" si="21"/>
        <v>-127.10196732010664</v>
      </c>
      <c r="G305" s="8">
        <f t="shared" si="21"/>
        <v>-54.203934640213276</v>
      </c>
      <c r="H305" s="8">
        <f t="shared" si="21"/>
        <v>91.592130719573447</v>
      </c>
    </row>
    <row r="306" spans="1:8" x14ac:dyDescent="0.2">
      <c r="A306" s="11"/>
      <c r="B306" s="11">
        <v>0.28799999999999998</v>
      </c>
      <c r="C306">
        <f t="shared" si="20"/>
        <v>-37.732919254658384</v>
      </c>
      <c r="D306" s="8">
        <f t="shared" si="21"/>
        <v>0.78235701170702043</v>
      </c>
      <c r="E306" s="8">
        <f t="shared" si="21"/>
        <v>-19.825828729919266</v>
      </c>
      <c r="F306" s="8">
        <f t="shared" si="21"/>
        <v>-127.32809520779801</v>
      </c>
      <c r="G306" s="8">
        <f t="shared" si="21"/>
        <v>-54.656190415596029</v>
      </c>
      <c r="H306" s="8">
        <f t="shared" si="21"/>
        <v>90.687619168807942</v>
      </c>
    </row>
    <row r="307" spans="1:8" x14ac:dyDescent="0.2">
      <c r="A307" s="11"/>
      <c r="B307" s="11">
        <v>0.28899999999999998</v>
      </c>
      <c r="C307">
        <f t="shared" si="20"/>
        <v>-37.858805275407292</v>
      </c>
      <c r="D307" s="8">
        <f t="shared" si="21"/>
        <v>0.34141691904042659</v>
      </c>
      <c r="E307" s="8">
        <f t="shared" si="21"/>
        <v>-20.167299675506101</v>
      </c>
      <c r="F307" s="8">
        <f t="shared" si="21"/>
        <v>-127.55334697118234</v>
      </c>
      <c r="G307" s="8">
        <f t="shared" si="21"/>
        <v>-55.106693942364672</v>
      </c>
      <c r="H307" s="8">
        <f t="shared" si="21"/>
        <v>89.786612115270657</v>
      </c>
    </row>
    <row r="308" spans="1:8" x14ac:dyDescent="0.2">
      <c r="A308" s="11"/>
      <c r="B308" s="11">
        <v>0.28999999999999998</v>
      </c>
      <c r="C308">
        <f t="shared" si="20"/>
        <v>-37.984496124031011</v>
      </c>
      <c r="D308" s="8">
        <f t="shared" si="21"/>
        <v>-9.8136347209276664E-2</v>
      </c>
      <c r="E308" s="8">
        <f t="shared" si="21"/>
        <v>-20.50770662031357</v>
      </c>
      <c r="F308" s="8">
        <f t="shared" si="21"/>
        <v>-127.77772668051942</v>
      </c>
      <c r="G308" s="8">
        <f t="shared" si="21"/>
        <v>-55.555453361038843</v>
      </c>
      <c r="H308" s="8">
        <f t="shared" si="21"/>
        <v>88.889093277922314</v>
      </c>
    </row>
    <row r="309" spans="1:8" x14ac:dyDescent="0.2">
      <c r="A309" s="11"/>
      <c r="B309" s="11">
        <v>0.29099999999999998</v>
      </c>
      <c r="C309">
        <f t="shared" si="20"/>
        <v>-38.109992254066611</v>
      </c>
      <c r="D309" s="8">
        <f t="shared" si="21"/>
        <v>-0.5363083902479957</v>
      </c>
      <c r="E309" s="8">
        <f t="shared" si="21"/>
        <v>-20.847053934722439</v>
      </c>
      <c r="F309" s="8">
        <f t="shared" si="21"/>
        <v>-128.00123838402482</v>
      </c>
      <c r="G309" s="8">
        <f t="shared" si="21"/>
        <v>-56.002476768049604</v>
      </c>
      <c r="H309" s="8">
        <f t="shared" si="21"/>
        <v>87.995046463900792</v>
      </c>
    </row>
    <row r="310" spans="1:8" x14ac:dyDescent="0.2">
      <c r="A310" s="11"/>
      <c r="B310" s="11">
        <v>0.29199999999999998</v>
      </c>
      <c r="C310">
        <f t="shared" si="20"/>
        <v>-38.235294117647072</v>
      </c>
      <c r="D310" s="8">
        <f t="shared" si="21"/>
        <v>-0.97310478582299709</v>
      </c>
      <c r="E310" s="8">
        <f t="shared" si="21"/>
        <v>-21.185345967246363</v>
      </c>
      <c r="F310" s="8">
        <f t="shared" si="21"/>
        <v>-128.22388610800672</v>
      </c>
      <c r="G310" s="8">
        <f t="shared" si="21"/>
        <v>-56.447772216013448</v>
      </c>
      <c r="H310" s="8">
        <f t="shared" si="21"/>
        <v>87.104455567973105</v>
      </c>
    </row>
    <row r="311" spans="1:8" x14ac:dyDescent="0.2">
      <c r="A311" s="11"/>
      <c r="B311" s="11">
        <v>0.29299999999999998</v>
      </c>
      <c r="C311">
        <f t="shared" si="20"/>
        <v>-38.360402165506571</v>
      </c>
      <c r="D311" s="8">
        <f t="shared" si="21"/>
        <v>-1.4085310823795183</v>
      </c>
      <c r="E311" s="8">
        <f t="shared" si="21"/>
        <v>-21.522587044659055</v>
      </c>
      <c r="F311" s="8">
        <f t="shared" si="21"/>
        <v>-128.445673857001</v>
      </c>
      <c r="G311" s="8">
        <f t="shared" si="21"/>
        <v>-56.891347714001967</v>
      </c>
      <c r="H311" s="8">
        <f t="shared" si="21"/>
        <v>86.217304571996067</v>
      </c>
    </row>
    <row r="312" spans="1:8" x14ac:dyDescent="0.2">
      <c r="A312" s="11"/>
      <c r="B312" s="11">
        <v>0.29399999999999998</v>
      </c>
      <c r="C312">
        <f t="shared" si="20"/>
        <v>-38.48531684698608</v>
      </c>
      <c r="D312" s="8">
        <f t="shared" si="21"/>
        <v>-1.8425928012180037</v>
      </c>
      <c r="E312" s="8">
        <f t="shared" si="21"/>
        <v>-21.858781472122075</v>
      </c>
      <c r="F312" s="8">
        <f t="shared" si="21"/>
        <v>-128.66660561390574</v>
      </c>
      <c r="G312" s="8">
        <f t="shared" si="21"/>
        <v>-57.333211227811518</v>
      </c>
      <c r="H312" s="8">
        <f t="shared" si="21"/>
        <v>85.333577544376965</v>
      </c>
    </row>
    <row r="313" spans="1:8" x14ac:dyDescent="0.2">
      <c r="A313" s="11"/>
      <c r="B313" s="11">
        <v>0.29499999999999998</v>
      </c>
      <c r="C313">
        <f t="shared" si="20"/>
        <v>-38.6100386100386</v>
      </c>
      <c r="D313" s="8">
        <f t="shared" si="21"/>
        <v>-2.2752954366489249</v>
      </c>
      <c r="E313" s="8">
        <f t="shared" si="21"/>
        <v>-22.19393353331062</v>
      </c>
      <c r="F313" s="8">
        <f t="shared" si="21"/>
        <v>-128.88668534011489</v>
      </c>
      <c r="G313" s="8">
        <f t="shared" si="21"/>
        <v>-57.773370680229789</v>
      </c>
      <c r="H313" s="8">
        <f t="shared" si="21"/>
        <v>84.453258639540422</v>
      </c>
    </row>
    <row r="314" spans="1:8" x14ac:dyDescent="0.2">
      <c r="A314" s="11"/>
      <c r="B314" s="11">
        <v>0.29599999999999999</v>
      </c>
      <c r="C314">
        <f t="shared" si="20"/>
        <v>-38.734567901234584</v>
      </c>
      <c r="D314" s="8">
        <f t="shared" si="21"/>
        <v>-2.7066444561480125</v>
      </c>
      <c r="E314" s="8">
        <f t="shared" si="21"/>
        <v>-22.528047490539407</v>
      </c>
      <c r="F314" s="8">
        <f t="shared" si="21"/>
        <v>-129.1059169756507</v>
      </c>
      <c r="G314" s="8">
        <f t="shared" si="21"/>
        <v>-58.211833951301429</v>
      </c>
      <c r="H314" s="8">
        <f t="shared" si="21"/>
        <v>83.576332097397142</v>
      </c>
    </row>
    <row r="315" spans="1:8" x14ac:dyDescent="0.2">
      <c r="A315" s="11"/>
      <c r="B315" s="11">
        <v>0.29699999999999999</v>
      </c>
      <c r="C315">
        <f t="shared" si="20"/>
        <v>-38.85890516576714</v>
      </c>
      <c r="D315" s="8">
        <f t="shared" si="21"/>
        <v>-3.1366453005088744</v>
      </c>
      <c r="E315" s="8">
        <f t="shared" si="21"/>
        <v>-22.861127584886745</v>
      </c>
      <c r="F315" s="8">
        <f t="shared" si="21"/>
        <v>-129.32430443929536</v>
      </c>
      <c r="G315" s="8">
        <f t="shared" si="21"/>
        <v>-58.64860887859075</v>
      </c>
      <c r="H315" s="8">
        <f t="shared" si="21"/>
        <v>82.7027822428185</v>
      </c>
    </row>
    <row r="316" spans="1:8" x14ac:dyDescent="0.2">
      <c r="A316" s="11"/>
      <c r="B316" s="11">
        <v>0.29799999999999999</v>
      </c>
      <c r="C316">
        <f t="shared" si="20"/>
        <v>-38.983050847457633</v>
      </c>
      <c r="D316" s="8">
        <f t="shared" si="21"/>
        <v>-3.565303383996195</v>
      </c>
      <c r="E316" s="8">
        <f t="shared" si="21"/>
        <v>-23.193178036318884</v>
      </c>
      <c r="F316" s="8">
        <f t="shared" si="21"/>
        <v>-129.54185162872193</v>
      </c>
      <c r="G316" s="8">
        <f t="shared" si="21"/>
        <v>-59.083703257443887</v>
      </c>
      <c r="H316" s="8">
        <f t="shared" si="21"/>
        <v>81.832593485112227</v>
      </c>
    </row>
    <row r="317" spans="1:8" x14ac:dyDescent="0.2">
      <c r="A317" s="11"/>
      <c r="B317" s="11">
        <v>0.29899999999999999</v>
      </c>
      <c r="C317">
        <f t="shared" si="20"/>
        <v>-39.10700538876057</v>
      </c>
      <c r="D317" s="8">
        <f t="shared" si="21"/>
        <v>-3.9926240944966054</v>
      </c>
      <c r="E317" s="8">
        <f t="shared" si="21"/>
        <v>-23.524203043812349</v>
      </c>
      <c r="F317" s="8">
        <f t="shared" si="21"/>
        <v>-129.758562420624</v>
      </c>
      <c r="G317" s="8">
        <f t="shared" si="21"/>
        <v>-59.517124841248034</v>
      </c>
      <c r="H317" s="8">
        <f t="shared" si="21"/>
        <v>80.965750317503932</v>
      </c>
    </row>
    <row r="318" spans="1:8" x14ac:dyDescent="0.2">
      <c r="A318" s="11"/>
      <c r="B318" s="11">
        <v>0.3</v>
      </c>
      <c r="C318">
        <f t="shared" si="20"/>
        <v>-39.230769230769226</v>
      </c>
      <c r="D318" s="8">
        <f t="shared" si="21"/>
        <v>-4.4186127936697162</v>
      </c>
      <c r="E318" s="8">
        <f t="shared" si="21"/>
        <v>-23.85420678547672</v>
      </c>
      <c r="F318" s="8">
        <f t="shared" si="21"/>
        <v>-129.97444067084487</v>
      </c>
      <c r="G318" s="8">
        <f t="shared" si="21"/>
        <v>-59.948881341689741</v>
      </c>
      <c r="H318" s="8">
        <f t="shared" si="21"/>
        <v>80.102237316620517</v>
      </c>
    </row>
    <row r="319" spans="1:8" x14ac:dyDescent="0.2">
      <c r="A319" s="11"/>
      <c r="B319" s="11">
        <v>0.30099999999999999</v>
      </c>
      <c r="C319">
        <f t="shared" si="20"/>
        <v>-39.354342813220597</v>
      </c>
      <c r="D319" s="8">
        <f t="shared" si="21"/>
        <v>-4.8432748170969901</v>
      </c>
      <c r="E319" s="8">
        <f t="shared" si="21"/>
        <v>-24.183193418675323</v>
      </c>
      <c r="F319" s="8">
        <f t="shared" si="21"/>
        <v>-130.1894902145053</v>
      </c>
      <c r="G319" s="8">
        <f t="shared" si="21"/>
        <v>-60.378980429010596</v>
      </c>
      <c r="H319" s="8">
        <f t="shared" si="21"/>
        <v>79.242039141978807</v>
      </c>
    </row>
    <row r="320" spans="1:8" x14ac:dyDescent="0.2">
      <c r="A320" s="11"/>
      <c r="B320" s="11">
        <v>0.30199999999999999</v>
      </c>
      <c r="C320">
        <f t="shared" si="20"/>
        <v>-39.477726574500764</v>
      </c>
      <c r="D320" s="8">
        <f t="shared" si="21"/>
        <v>-5.2666154744309921</v>
      </c>
      <c r="E320" s="8">
        <f t="shared" si="21"/>
        <v>-24.511167080146322</v>
      </c>
      <c r="F320" s="8">
        <f t="shared" si="21"/>
        <v>-130.40371486613105</v>
      </c>
      <c r="G320" s="8">
        <f t="shared" si="21"/>
        <v>-60.807429732262136</v>
      </c>
      <c r="H320" s="8">
        <f t="shared" si="21"/>
        <v>78.385140535475728</v>
      </c>
    </row>
    <row r="321" spans="1:8" x14ac:dyDescent="0.2">
      <c r="A321" s="11"/>
      <c r="B321" s="11">
        <v>0.30299999999999999</v>
      </c>
      <c r="C321">
        <f t="shared" si="20"/>
        <v>-39.600920951650039</v>
      </c>
      <c r="D321" s="8">
        <f t="shared" si="21"/>
        <v>-5.6886400495420517</v>
      </c>
      <c r="E321" s="8">
        <f t="shared" si="21"/>
        <v>-24.838131886121886</v>
      </c>
      <c r="F321" s="8">
        <f t="shared" si="21"/>
        <v>-130.6171184197789</v>
      </c>
      <c r="G321" s="8">
        <f t="shared" si="21"/>
        <v>-61.234236839557809</v>
      </c>
      <c r="H321" s="8">
        <f t="shared" si="21"/>
        <v>77.531526320884382</v>
      </c>
    </row>
    <row r="322" spans="1:8" x14ac:dyDescent="0.2">
      <c r="A322" s="11"/>
      <c r="B322" s="11">
        <v>0.30399999999999999</v>
      </c>
      <c r="C322">
        <f t="shared" si="20"/>
        <v>-39.723926380368113</v>
      </c>
      <c r="D322" s="8">
        <f t="shared" si="21"/>
        <v>-6.1093538006657724</v>
      </c>
      <c r="E322" s="8">
        <f t="shared" si="21"/>
        <v>-25.164091932447654</v>
      </c>
      <c r="F322" s="8">
        <f t="shared" si="21"/>
        <v>-130.82970464916224</v>
      </c>
      <c r="G322" s="8">
        <f t="shared" si="21"/>
        <v>-61.659409298324505</v>
      </c>
      <c r="H322" s="8">
        <f t="shared" si="21"/>
        <v>76.68118140335099</v>
      </c>
    </row>
    <row r="323" spans="1:8" x14ac:dyDescent="0.2">
      <c r="A323" s="11"/>
      <c r="B323" s="11">
        <v>0.30499999999999999</v>
      </c>
      <c r="C323">
        <f t="shared" si="20"/>
        <v>-39.846743295019138</v>
      </c>
      <c r="D323" s="8">
        <f t="shared" si="21"/>
        <v>-6.5287619605478397</v>
      </c>
      <c r="E323" s="8">
        <f t="shared" si="21"/>
        <v>-25.48905129470031</v>
      </c>
      <c r="F323" s="8">
        <f t="shared" si="21"/>
        <v>-131.04147730777549</v>
      </c>
      <c r="G323" s="8">
        <f t="shared" si="21"/>
        <v>-62.082954615550989</v>
      </c>
      <c r="H323" s="8">
        <f t="shared" si="21"/>
        <v>75.834090768898022</v>
      </c>
    </row>
    <row r="324" spans="1:8" x14ac:dyDescent="0.2">
      <c r="A324" s="11"/>
      <c r="B324" s="11">
        <v>0.30599999999999999</v>
      </c>
      <c r="C324">
        <f t="shared" si="20"/>
        <v>-39.969372128637076</v>
      </c>
      <c r="D324" s="8">
        <f t="shared" si="21"/>
        <v>-6.9468697365895054</v>
      </c>
      <c r="E324" s="8">
        <f t="shared" si="21"/>
        <v>-25.813014028305602</v>
      </c>
      <c r="F324" s="8">
        <f t="shared" si="21"/>
        <v>-131.25244012901808</v>
      </c>
      <c r="G324" s="8">
        <f t="shared" si="21"/>
        <v>-62.504880258036167</v>
      </c>
      <c r="H324" s="8">
        <f t="shared" si="21"/>
        <v>74.990239483927667</v>
      </c>
    </row>
    <row r="325" spans="1:8" x14ac:dyDescent="0.2">
      <c r="A325" s="11"/>
      <c r="B325" s="11">
        <v>0.307</v>
      </c>
      <c r="C325">
        <f t="shared" si="20"/>
        <v>-40.091813312930356</v>
      </c>
      <c r="D325" s="8">
        <f t="shared" si="21"/>
        <v>-7.3636823109905194</v>
      </c>
      <c r="E325" s="8">
        <f t="shared" si="21"/>
        <v>-26.135984168654147</v>
      </c>
      <c r="F325" s="8">
        <f t="shared" si="21"/>
        <v>-131.46259682631694</v>
      </c>
      <c r="G325" s="8">
        <f t="shared" si="21"/>
        <v>-62.925193652633851</v>
      </c>
      <c r="H325" s="8">
        <f t="shared" si="21"/>
        <v>74.149612694732298</v>
      </c>
    </row>
    <row r="326" spans="1:8" x14ac:dyDescent="0.2">
      <c r="A326" s="11"/>
      <c r="B326" s="11">
        <v>0.308</v>
      </c>
      <c r="C326">
        <f t="shared" si="20"/>
        <v>-40.214067278287473</v>
      </c>
      <c r="D326" s="8">
        <f t="shared" si="21"/>
        <v>-7.7792048408927741</v>
      </c>
      <c r="E326" s="8">
        <f t="shared" si="21"/>
        <v>-26.457965731218046</v>
      </c>
      <c r="F326" s="8">
        <f t="shared" si="21"/>
        <v>-131.67195109324882</v>
      </c>
      <c r="G326" s="8">
        <f t="shared" si="21"/>
        <v>-63.343902186497616</v>
      </c>
      <c r="H326" s="8">
        <f t="shared" si="21"/>
        <v>73.312195627004769</v>
      </c>
    </row>
    <row r="327" spans="1:8" x14ac:dyDescent="0.2">
      <c r="A327" s="11"/>
      <c r="B327" s="11">
        <v>0.309</v>
      </c>
      <c r="C327">
        <f t="shared" si="20"/>
        <v>-40.336134453781511</v>
      </c>
      <c r="D327" s="8">
        <f t="shared" si="21"/>
        <v>-8.1934424585213463</v>
      </c>
      <c r="E327" s="8">
        <f t="shared" si="21"/>
        <v>-26.778962711665109</v>
      </c>
      <c r="F327" s="8">
        <f t="shared" si="21"/>
        <v>-131.88050660366127</v>
      </c>
      <c r="G327" s="8">
        <f t="shared" si="21"/>
        <v>-63.76101320732252</v>
      </c>
      <c r="H327" s="8">
        <f t="shared" si="21"/>
        <v>72.47797358535496</v>
      </c>
    </row>
    <row r="328" spans="1:8" x14ac:dyDescent="0.2">
      <c r="A328" s="11"/>
      <c r="B328" s="11">
        <v>0.31</v>
      </c>
      <c r="C328">
        <f t="shared" si="20"/>
        <v>-40.458015267175568</v>
      </c>
      <c r="D328" s="8">
        <f t="shared" si="21"/>
        <v>-8.6064002713264216</v>
      </c>
      <c r="E328" s="8">
        <f t="shared" si="21"/>
        <v>-27.09897908597403</v>
      </c>
      <c r="F328" s="8">
        <f t="shared" si="21"/>
        <v>-132.08826701179322</v>
      </c>
      <c r="G328" s="8">
        <f t="shared" si="21"/>
        <v>-64.176534023586413</v>
      </c>
      <c r="H328" s="8">
        <f t="shared" si="21"/>
        <v>71.646931952827174</v>
      </c>
    </row>
    <row r="329" spans="1:8" x14ac:dyDescent="0.2">
      <c r="A329" s="11"/>
      <c r="B329" s="11">
        <v>0.311</v>
      </c>
      <c r="C329">
        <f t="shared" si="20"/>
        <v>-40.579710144927532</v>
      </c>
      <c r="D329" s="8">
        <f t="shared" si="21"/>
        <v>-9.0180833621223542</v>
      </c>
      <c r="E329" s="8">
        <f t="shared" si="21"/>
        <v>-27.418018810547096</v>
      </c>
      <c r="F329" s="8">
        <f t="shared" si="21"/>
        <v>-132.29523595239414</v>
      </c>
      <c r="G329" s="8">
        <f t="shared" si="21"/>
        <v>-64.590471904788274</v>
      </c>
      <c r="H329" s="8">
        <f t="shared" si="21"/>
        <v>70.819056190423453</v>
      </c>
    </row>
    <row r="330" spans="1:8" x14ac:dyDescent="0.2">
      <c r="A330" s="11"/>
      <c r="B330" s="11">
        <v>0.312</v>
      </c>
      <c r="C330">
        <f t="shared" si="20"/>
        <v>-40.701219512195138</v>
      </c>
      <c r="D330" s="8">
        <f t="shared" si="21"/>
        <v>-9.4284967892277791</v>
      </c>
      <c r="E330" s="8">
        <f t="shared" si="21"/>
        <v>-27.736085822323652</v>
      </c>
      <c r="F330" s="8">
        <f t="shared" si="21"/>
        <v>-132.50141704084317</v>
      </c>
      <c r="G330" s="8">
        <f t="shared" si="21"/>
        <v>-65.002834081686331</v>
      </c>
      <c r="H330" s="8">
        <f t="shared" si="21"/>
        <v>69.994331836627339</v>
      </c>
    </row>
    <row r="331" spans="1:8" x14ac:dyDescent="0.2">
      <c r="A331" s="11"/>
      <c r="B331" s="11">
        <v>0.313</v>
      </c>
      <c r="C331">
        <f t="shared" si="20"/>
        <v>-40.822543792840804</v>
      </c>
      <c r="D331" s="8">
        <f t="shared" si="21"/>
        <v>-9.8376455866030241</v>
      </c>
      <c r="E331" s="8">
        <f t="shared" si="21"/>
        <v>-28.053184038891501</v>
      </c>
      <c r="F331" s="8">
        <f t="shared" si="21"/>
        <v>-132.70681387326658</v>
      </c>
      <c r="G331" s="8">
        <f t="shared" si="21"/>
        <v>-65.413627746533194</v>
      </c>
      <c r="H331" s="8">
        <f t="shared" si="21"/>
        <v>69.172744506933611</v>
      </c>
    </row>
    <row r="332" spans="1:8" x14ac:dyDescent="0.2">
      <c r="A332" s="11"/>
      <c r="B332" s="11">
        <v>0.314</v>
      </c>
      <c r="C332">
        <f t="shared" si="20"/>
        <v>-40.943683409436829</v>
      </c>
      <c r="D332" s="8">
        <f t="shared" si="21"/>
        <v>-10.24553476398826</v>
      </c>
      <c r="E332" s="8">
        <f t="shared" si="21"/>
        <v>-28.369317358598963</v>
      </c>
      <c r="F332" s="8">
        <f t="shared" si="21"/>
        <v>-132.9114300266553</v>
      </c>
      <c r="G332" s="8">
        <f t="shared" si="21"/>
        <v>-65.822860053310563</v>
      </c>
      <c r="H332" s="8">
        <f t="shared" si="21"/>
        <v>68.354279893378873</v>
      </c>
    </row>
    <row r="333" spans="1:8" x14ac:dyDescent="0.2">
      <c r="A333" s="11"/>
      <c r="B333" s="11">
        <v>0.315</v>
      </c>
      <c r="C333">
        <f t="shared" si="20"/>
        <v>-41.064638783269942</v>
      </c>
      <c r="D333" s="8">
        <f t="shared" si="21"/>
        <v>-10.652169307039166</v>
      </c>
      <c r="E333" s="8">
        <f t="shared" si="21"/>
        <v>-28.684489660664696</v>
      </c>
      <c r="F333" s="8">
        <f t="shared" si="21"/>
        <v>-133.11526905898063</v>
      </c>
      <c r="G333" s="8">
        <f t="shared" si="21"/>
        <v>-66.23053811796126</v>
      </c>
      <c r="H333" s="8">
        <f t="shared" si="21"/>
        <v>67.538923764077481</v>
      </c>
    </row>
    <row r="334" spans="1:8" x14ac:dyDescent="0.2">
      <c r="A334" s="11"/>
      <c r="B334" s="11">
        <v>0.316</v>
      </c>
      <c r="C334">
        <f t="shared" si="20"/>
        <v>-41.1854103343465</v>
      </c>
      <c r="D334" s="8">
        <f t="shared" si="21"/>
        <v>-11.057554177463473</v>
      </c>
      <c r="E334" s="8">
        <f t="shared" si="21"/>
        <v>-28.998704805288277</v>
      </c>
      <c r="F334" s="8">
        <f t="shared" si="21"/>
        <v>-133.31833450931043</v>
      </c>
      <c r="G334" s="8">
        <f t="shared" si="21"/>
        <v>-66.636669018620864</v>
      </c>
      <c r="H334" s="8">
        <f t="shared" si="21"/>
        <v>66.726661962758271</v>
      </c>
    </row>
    <row r="335" spans="1:8" x14ac:dyDescent="0.2">
      <c r="A335" s="11"/>
      <c r="B335" s="11">
        <v>0.317</v>
      </c>
      <c r="C335">
        <f t="shared" si="20"/>
        <v>-41.305998481397097</v>
      </c>
      <c r="D335" s="8">
        <f t="shared" si="21"/>
        <v>-11.461694313154709</v>
      </c>
      <c r="E335" s="8">
        <f t="shared" si="21"/>
        <v>-29.311966633758587</v>
      </c>
      <c r="F335" s="8">
        <f t="shared" si="21"/>
        <v>-133.52062989792313</v>
      </c>
      <c r="G335" s="8">
        <f t="shared" si="21"/>
        <v>-67.041259795846287</v>
      </c>
      <c r="H335" s="8">
        <f t="shared" si="21"/>
        <v>65.917480408307426</v>
      </c>
    </row>
    <row r="336" spans="1:8" x14ac:dyDescent="0.2">
      <c r="A336" s="11"/>
      <c r="B336" s="11">
        <v>0.318</v>
      </c>
      <c r="C336">
        <f t="shared" si="20"/>
        <v>-41.426403641881649</v>
      </c>
      <c r="D336" s="8">
        <f t="shared" si="21"/>
        <v>-11.864594628326898</v>
      </c>
      <c r="E336" s="8">
        <f t="shared" si="21"/>
        <v>-29.624278968562962</v>
      </c>
      <c r="F336" s="8">
        <f t="shared" si="21"/>
        <v>-133.72215872642221</v>
      </c>
      <c r="G336" s="8">
        <f t="shared" si="21"/>
        <v>-67.444317452844416</v>
      </c>
      <c r="H336" s="8">
        <f t="shared" si="21"/>
        <v>65.111365094311168</v>
      </c>
    </row>
    <row r="337" spans="1:8" x14ac:dyDescent="0.2">
      <c r="A337" s="11"/>
      <c r="B337" s="11">
        <v>0.31900000000000001</v>
      </c>
      <c r="C337">
        <f t="shared" si="20"/>
        <v>-41.54662623199394</v>
      </c>
      <c r="D337" s="8">
        <f t="shared" si="21"/>
        <v>-12.266260013646935</v>
      </c>
      <c r="E337" s="8">
        <f t="shared" si="21"/>
        <v>-29.93564561349438</v>
      </c>
      <c r="F337" s="8">
        <f t="shared" si="21"/>
        <v>-133.92292447784888</v>
      </c>
      <c r="G337" s="8">
        <f t="shared" si="21"/>
        <v>-67.84584895569779</v>
      </c>
      <c r="H337" s="8">
        <f t="shared" si="21"/>
        <v>64.308302088604421</v>
      </c>
    </row>
    <row r="338" spans="1:8" x14ac:dyDescent="0.2">
      <c r="A338" s="11"/>
      <c r="B338" s="11">
        <v>0.32</v>
      </c>
      <c r="C338">
        <f t="shared" si="20"/>
        <v>-41.666666666666686</v>
      </c>
      <c r="D338" s="8">
        <f t="shared" ref="D338:H388" si="22">$D$5+(D$6/(1+$B338))+(D$7/(1+$B338)^2)+(D$8/(1+$B338)^3)+(D$9/(1+$B338)^4)</f>
        <v>-12.666695336367283</v>
      </c>
      <c r="E338" s="8">
        <f t="shared" si="22"/>
        <v>-30.246070353758817</v>
      </c>
      <c r="F338" s="8">
        <f t="shared" si="22"/>
        <v>-134.12293061679489</v>
      </c>
      <c r="G338" s="8">
        <f t="shared" si="22"/>
        <v>-68.245861233589778</v>
      </c>
      <c r="H338" s="8">
        <f t="shared" si="22"/>
        <v>63.508277532820443</v>
      </c>
    </row>
    <row r="339" spans="1:8" x14ac:dyDescent="0.2">
      <c r="A339" s="11"/>
      <c r="B339" s="11">
        <v>0.32100000000000001</v>
      </c>
      <c r="C339">
        <f t="shared" si="20"/>
        <v>-41.786525359576075</v>
      </c>
      <c r="D339" s="8">
        <f t="shared" si="22"/>
        <v>-13.065905440456689</v>
      </c>
      <c r="E339" s="8">
        <f t="shared" si="22"/>
        <v>-30.555556956081219</v>
      </c>
      <c r="F339" s="8">
        <f t="shared" si="22"/>
        <v>-134.32218058951366</v>
      </c>
      <c r="G339" s="8">
        <f t="shared" si="22"/>
        <v>-68.644361179027328</v>
      </c>
      <c r="H339" s="8">
        <f t="shared" si="22"/>
        <v>62.711277641945344</v>
      </c>
    </row>
    <row r="340" spans="1:8" x14ac:dyDescent="0.2">
      <c r="A340" s="11"/>
      <c r="B340" s="11">
        <v>0.32200000000000001</v>
      </c>
      <c r="C340">
        <f t="shared" ref="C340:C403" si="23">$C$5+$C$6/(1+$B340)</f>
        <v>-41.906202723146748</v>
      </c>
      <c r="D340" s="8">
        <f t="shared" si="22"/>
        <v>-13.463895146731353</v>
      </c>
      <c r="E340" s="8">
        <f t="shared" si="22"/>
        <v>-30.864109168811524</v>
      </c>
      <c r="F340" s="8">
        <f t="shared" si="22"/>
        <v>-134.52067782403162</v>
      </c>
      <c r="G340" s="8">
        <f t="shared" si="22"/>
        <v>-69.041355648063217</v>
      </c>
      <c r="H340" s="8">
        <f t="shared" si="22"/>
        <v>61.917288703873567</v>
      </c>
    </row>
    <row r="341" spans="1:8" x14ac:dyDescent="0.2">
      <c r="A341" s="11"/>
      <c r="B341" s="11">
        <v>0.32300000000000001</v>
      </c>
      <c r="C341">
        <f t="shared" si="23"/>
        <v>-42.025699168556315</v>
      </c>
      <c r="D341" s="8">
        <f t="shared" si="22"/>
        <v>-13.860669252983641</v>
      </c>
      <c r="E341" s="8">
        <f t="shared" si="22"/>
        <v>-31.171730722029139</v>
      </c>
      <c r="F341" s="8">
        <f t="shared" si="22"/>
        <v>-134.71842573025776</v>
      </c>
      <c r="G341" s="8">
        <f t="shared" si="22"/>
        <v>-69.436851460515555</v>
      </c>
      <c r="H341" s="8">
        <f t="shared" si="22"/>
        <v>61.126297078968889</v>
      </c>
    </row>
    <row r="342" spans="1:8" x14ac:dyDescent="0.2">
      <c r="A342" s="11"/>
      <c r="B342" s="11">
        <v>0.32400000000000001</v>
      </c>
      <c r="C342">
        <f t="shared" si="23"/>
        <v>-42.145015105740185</v>
      </c>
      <c r="D342" s="8">
        <f t="shared" si="22"/>
        <v>-14.256232534111938</v>
      </c>
      <c r="E342" s="8">
        <f t="shared" si="22"/>
        <v>-31.47842532764767</v>
      </c>
      <c r="F342" s="8">
        <f t="shared" si="22"/>
        <v>-134.91542770009366</v>
      </c>
      <c r="G342" s="8">
        <f t="shared" si="22"/>
        <v>-69.830855400187318</v>
      </c>
      <c r="H342" s="8">
        <f t="shared" si="22"/>
        <v>60.338289199625365</v>
      </c>
    </row>
    <row r="343" spans="1:8" x14ac:dyDescent="0.2">
      <c r="A343" s="11"/>
      <c r="B343" s="11">
        <v>0.32500000000000001</v>
      </c>
      <c r="C343">
        <f t="shared" si="23"/>
        <v>-42.264150943396231</v>
      </c>
      <c r="D343" s="8">
        <f t="shared" si="22"/>
        <v>-14.650589742247639</v>
      </c>
      <c r="E343" s="8">
        <f t="shared" si="22"/>
        <v>-31.784196679518011</v>
      </c>
      <c r="F343" s="8">
        <f t="shared" si="22"/>
        <v>-135.11168710754134</v>
      </c>
      <c r="G343" s="8">
        <f t="shared" si="22"/>
        <v>-70.223374215082714</v>
      </c>
      <c r="H343" s="8">
        <f t="shared" si="22"/>
        <v>59.553251569834572</v>
      </c>
    </row>
    <row r="344" spans="1:8" x14ac:dyDescent="0.2">
      <c r="A344" s="11"/>
      <c r="B344" s="11">
        <v>0.32600000000000001</v>
      </c>
      <c r="C344">
        <f t="shared" si="23"/>
        <v>-42.383107088989448</v>
      </c>
      <c r="D344" s="8">
        <f t="shared" si="22"/>
        <v>-15.043745606883029</v>
      </c>
      <c r="E344" s="8">
        <f t="shared" si="22"/>
        <v>-32.089048453531646</v>
      </c>
      <c r="F344" s="8">
        <f t="shared" si="22"/>
        <v>-135.30720730881174</v>
      </c>
      <c r="G344" s="8">
        <f t="shared" si="22"/>
        <v>-70.614414617623481</v>
      </c>
      <c r="H344" s="8">
        <f t="shared" si="22"/>
        <v>58.771170764753037</v>
      </c>
    </row>
    <row r="345" spans="1:8" x14ac:dyDescent="0.2">
      <c r="A345" s="11"/>
      <c r="B345" s="11">
        <v>0.32700000000000001</v>
      </c>
      <c r="C345">
        <f t="shared" si="23"/>
        <v>-42.501883948756586</v>
      </c>
      <c r="D345" s="8">
        <f t="shared" si="22"/>
        <v>-15.435704834997104</v>
      </c>
      <c r="E345" s="8">
        <f t="shared" si="22"/>
        <v>-32.392984307722585</v>
      </c>
      <c r="F345" s="8">
        <f t="shared" si="22"/>
        <v>-135.50199164243142</v>
      </c>
      <c r="G345" s="8">
        <f t="shared" si="22"/>
        <v>-71.003983284862841</v>
      </c>
      <c r="H345" s="8">
        <f t="shared" si="22"/>
        <v>57.992033430274319</v>
      </c>
    </row>
    <row r="346" spans="1:8" x14ac:dyDescent="0.2">
      <c r="A346" s="11"/>
      <c r="B346" s="11">
        <v>0.32800000000000001</v>
      </c>
      <c r="C346">
        <f t="shared" si="23"/>
        <v>-42.620481927710841</v>
      </c>
      <c r="D346" s="8">
        <f t="shared" si="22"/>
        <v>-15.826472111181552</v>
      </c>
      <c r="E346" s="8">
        <f t="shared" si="22"/>
        <v>-32.696007882369081</v>
      </c>
      <c r="F346" s="8">
        <f t="shared" si="22"/>
        <v>-135.69604342934934</v>
      </c>
      <c r="G346" s="8">
        <f t="shared" si="22"/>
        <v>-71.392086858698661</v>
      </c>
      <c r="H346" s="8">
        <f t="shared" si="22"/>
        <v>57.215826282602677</v>
      </c>
    </row>
    <row r="347" spans="1:8" x14ac:dyDescent="0.2">
      <c r="A347" s="11"/>
      <c r="B347" s="11">
        <v>0.32900000000000001</v>
      </c>
      <c r="C347">
        <f t="shared" si="23"/>
        <v>-42.738901429646347</v>
      </c>
      <c r="D347" s="8">
        <f t="shared" si="22"/>
        <v>-16.216052097765015</v>
      </c>
      <c r="E347" s="8">
        <f t="shared" si="22"/>
        <v>-32.998122800094372</v>
      </c>
      <c r="F347" s="8">
        <f t="shared" si="22"/>
        <v>-135.88936597304217</v>
      </c>
      <c r="G347" s="8">
        <f t="shared" si="22"/>
        <v>-71.778731946084321</v>
      </c>
      <c r="H347" s="8">
        <f t="shared" si="22"/>
        <v>56.442536107831359</v>
      </c>
    </row>
    <row r="348" spans="1:8" x14ac:dyDescent="0.2">
      <c r="A348" s="11"/>
      <c r="B348" s="11">
        <v>0.33</v>
      </c>
      <c r="C348">
        <f t="shared" si="23"/>
        <v>-42.857142857142861</v>
      </c>
      <c r="D348" s="8">
        <f t="shared" si="22"/>
        <v>-16.604449434937557</v>
      </c>
      <c r="E348" s="8">
        <f t="shared" si="22"/>
        <v>-33.299332665967249</v>
      </c>
      <c r="F348" s="8">
        <f t="shared" si="22"/>
        <v>-136.08196255961968</v>
      </c>
      <c r="G348" s="8">
        <f t="shared" si="22"/>
        <v>-72.163925119239366</v>
      </c>
      <c r="H348" s="8">
        <f t="shared" si="22"/>
        <v>55.672149761521268</v>
      </c>
    </row>
    <row r="349" spans="1:8" x14ac:dyDescent="0.2">
      <c r="A349" s="11"/>
      <c r="B349" s="11">
        <v>0.33100000000000002</v>
      </c>
      <c r="C349">
        <f t="shared" si="23"/>
        <v>-42.975206611570229</v>
      </c>
      <c r="D349" s="8">
        <f t="shared" si="22"/>
        <v>-16.991668740873301</v>
      </c>
      <c r="E349" s="8">
        <f t="shared" si="22"/>
        <v>-33.599641067601233</v>
      </c>
      <c r="F349" s="8">
        <f t="shared" si="22"/>
        <v>-136.27383645792864</v>
      </c>
      <c r="G349" s="8">
        <f t="shared" si="22"/>
        <v>-72.547672915857277</v>
      </c>
      <c r="H349" s="8">
        <f t="shared" si="22"/>
        <v>54.904654168285447</v>
      </c>
    </row>
    <row r="350" spans="1:8" x14ac:dyDescent="0.2">
      <c r="A350" s="11"/>
      <c r="B350" s="11">
        <v>0.33200000000000002</v>
      </c>
      <c r="C350">
        <f t="shared" si="23"/>
        <v>-43.093093093093103</v>
      </c>
      <c r="D350" s="8">
        <f t="shared" si="22"/>
        <v>-17.377714611853257</v>
      </c>
      <c r="E350" s="8">
        <f t="shared" si="22"/>
        <v>-33.8990515752539</v>
      </c>
      <c r="F350" s="8">
        <f t="shared" si="22"/>
        <v>-136.46499091965663</v>
      </c>
      <c r="G350" s="8">
        <f t="shared" si="22"/>
        <v>-72.929981839313257</v>
      </c>
      <c r="H350" s="8">
        <f t="shared" si="22"/>
        <v>54.140036321373486</v>
      </c>
    </row>
    <row r="351" spans="1:8" x14ac:dyDescent="0.2">
      <c r="A351" s="11"/>
      <c r="B351" s="11">
        <v>0.33300000000000002</v>
      </c>
      <c r="C351">
        <f t="shared" si="23"/>
        <v>-43.210802700675174</v>
      </c>
      <c r="D351" s="8">
        <f t="shared" si="22"/>
        <v>-17.762591622386395</v>
      </c>
      <c r="E351" s="8">
        <f t="shared" si="22"/>
        <v>-34.197567741924836</v>
      </c>
      <c r="F351" s="8">
        <f t="shared" si="22"/>
        <v>-136.65542917943469</v>
      </c>
      <c r="G351" s="8">
        <f t="shared" si="22"/>
        <v>-73.31085835886941</v>
      </c>
      <c r="H351" s="8">
        <f t="shared" si="22"/>
        <v>53.378283282261179</v>
      </c>
    </row>
    <row r="352" spans="1:8" x14ac:dyDescent="0.2">
      <c r="A352" s="11"/>
      <c r="B352" s="11">
        <v>0.33400000000000002</v>
      </c>
      <c r="C352">
        <f t="shared" si="23"/>
        <v>-43.32833583208398</v>
      </c>
      <c r="D352" s="8">
        <f t="shared" si="22"/>
        <v>-18.146304325331073</v>
      </c>
      <c r="E352" s="8">
        <f t="shared" si="22"/>
        <v>-34.49519310345368</v>
      </c>
      <c r="F352" s="8">
        <f t="shared" si="22"/>
        <v>-136.8451544549398</v>
      </c>
      <c r="G352" s="8">
        <f t="shared" si="22"/>
        <v>-73.690308909879633</v>
      </c>
      <c r="H352" s="8">
        <f t="shared" si="22"/>
        <v>52.619382180240734</v>
      </c>
    </row>
    <row r="353" spans="1:8" x14ac:dyDescent="0.2">
      <c r="A353" s="11"/>
      <c r="B353" s="11">
        <v>0.33500000000000002</v>
      </c>
      <c r="C353">
        <f t="shared" si="23"/>
        <v>-43.445692883895134</v>
      </c>
      <c r="D353" s="8">
        <f t="shared" si="22"/>
        <v>-18.528857252014532</v>
      </c>
      <c r="E353" s="8">
        <f t="shared" si="22"/>
        <v>-34.791931178616913</v>
      </c>
      <c r="F353" s="8">
        <f t="shared" si="22"/>
        <v>-137.03416994699603</v>
      </c>
      <c r="G353" s="8">
        <f t="shared" si="22"/>
        <v>-74.068339893992075</v>
      </c>
      <c r="H353" s="8">
        <f t="shared" si="22"/>
        <v>51.86332021201585</v>
      </c>
    </row>
    <row r="354" spans="1:8" x14ac:dyDescent="0.2">
      <c r="A354" s="11"/>
      <c r="B354" s="11">
        <v>0.33600000000000002</v>
      </c>
      <c r="C354">
        <f t="shared" si="23"/>
        <v>-43.562874251497021</v>
      </c>
      <c r="D354" s="8">
        <f t="shared" si="22"/>
        <v>-18.910254912352592</v>
      </c>
      <c r="E354" s="8">
        <f t="shared" si="22"/>
        <v>-35.087785469224421</v>
      </c>
      <c r="F354" s="8">
        <f t="shared" si="22"/>
        <v>-137.22247883967557</v>
      </c>
      <c r="G354" s="8">
        <f t="shared" si="22"/>
        <v>-74.444957679351162</v>
      </c>
      <c r="H354" s="8">
        <f t="shared" si="22"/>
        <v>51.110084641297675</v>
      </c>
    </row>
    <row r="355" spans="1:8" x14ac:dyDescent="0.2">
      <c r="A355" s="11"/>
      <c r="B355" s="11">
        <v>0.33700000000000002</v>
      </c>
      <c r="C355">
        <f t="shared" si="23"/>
        <v>-43.679880329094971</v>
      </c>
      <c r="D355" s="8">
        <f t="shared" si="22"/>
        <v>-19.290501794967817</v>
      </c>
      <c r="E355" s="8">
        <f t="shared" si="22"/>
        <v>-35.38275946021507</v>
      </c>
      <c r="F355" s="8">
        <f t="shared" si="22"/>
        <v>-137.41008430039869</v>
      </c>
      <c r="G355" s="8">
        <f t="shared" si="22"/>
        <v>-74.820168600797402</v>
      </c>
      <c r="H355" s="8">
        <f t="shared" si="22"/>
        <v>50.359662798405196</v>
      </c>
    </row>
    <row r="356" spans="1:8" x14ac:dyDescent="0.2">
      <c r="A356" s="11"/>
      <c r="B356" s="11">
        <v>0.33800000000000002</v>
      </c>
      <c r="C356">
        <f t="shared" si="23"/>
        <v>-43.796711509716005</v>
      </c>
      <c r="D356" s="8">
        <f t="shared" si="22"/>
        <v>-19.669602367307746</v>
      </c>
      <c r="E356" s="8">
        <f t="shared" si="22"/>
        <v>-35.676856619752265</v>
      </c>
      <c r="F356" s="8">
        <f t="shared" si="22"/>
        <v>-137.59698948003341</v>
      </c>
      <c r="G356" s="8">
        <f t="shared" si="22"/>
        <v>-75.193978960066843</v>
      </c>
      <c r="H356" s="8">
        <f t="shared" si="22"/>
        <v>49.612042079866313</v>
      </c>
    </row>
    <row r="357" spans="1:8" x14ac:dyDescent="0.2">
      <c r="A357" s="11"/>
      <c r="B357" s="11">
        <v>0.33900000000000002</v>
      </c>
      <c r="C357">
        <f t="shared" si="23"/>
        <v>-43.913368185212846</v>
      </c>
      <c r="D357" s="8">
        <f t="shared" si="22"/>
        <v>-20.047561075761429</v>
      </c>
      <c r="E357" s="8">
        <f t="shared" si="22"/>
        <v>-35.970080399318086</v>
      </c>
      <c r="F357" s="8">
        <f t="shared" si="22"/>
        <v>-137.78319751299401</v>
      </c>
      <c r="G357" s="8">
        <f t="shared" si="22"/>
        <v>-75.566395025988029</v>
      </c>
      <c r="H357" s="8">
        <f t="shared" si="22"/>
        <v>48.867209948023941</v>
      </c>
    </row>
    <row r="358" spans="1:8" x14ac:dyDescent="0.2">
      <c r="A358" s="11"/>
      <c r="B358" s="11">
        <v>0.34</v>
      </c>
      <c r="C358">
        <f t="shared" si="23"/>
        <v>-44.029850746268664</v>
      </c>
      <c r="D358" s="8">
        <f t="shared" si="22"/>
        <v>-20.424382345776245</v>
      </c>
      <c r="E358" s="8">
        <f t="shared" si="22"/>
        <v>-36.262434233807674</v>
      </c>
      <c r="F358" s="8">
        <f t="shared" si="22"/>
        <v>-137.96871151733944</v>
      </c>
      <c r="G358" s="8">
        <f t="shared" si="22"/>
        <v>-75.937423034678858</v>
      </c>
      <c r="H358" s="8">
        <f t="shared" si="22"/>
        <v>48.125153930642284</v>
      </c>
    </row>
    <row r="359" spans="1:8" x14ac:dyDescent="0.2">
      <c r="A359" s="11"/>
      <c r="B359" s="11">
        <v>0.34100000000000003</v>
      </c>
      <c r="C359">
        <f t="shared" si="23"/>
        <v>-44.146159582401197</v>
      </c>
      <c r="D359" s="8">
        <f t="shared" si="22"/>
        <v>-20.800070581972875</v>
      </c>
      <c r="E359" s="8">
        <f t="shared" si="22"/>
        <v>-36.553921541622117</v>
      </c>
      <c r="F359" s="8">
        <f t="shared" si="22"/>
        <v>-138.15353459487042</v>
      </c>
      <c r="G359" s="8">
        <f t="shared" si="22"/>
        <v>-76.307069189740844</v>
      </c>
      <c r="H359" s="8">
        <f t="shared" si="22"/>
        <v>47.385861620518313</v>
      </c>
    </row>
    <row r="360" spans="1:8" x14ac:dyDescent="0.2">
      <c r="A360" s="11"/>
      <c r="B360" s="11">
        <v>0.34200000000000003</v>
      </c>
      <c r="C360">
        <f t="shared" si="23"/>
        <v>-44.26229508196721</v>
      </c>
      <c r="D360" s="8">
        <f t="shared" si="22"/>
        <v>-21.174630168260812</v>
      </c>
      <c r="E360" s="8">
        <f t="shared" si="22"/>
        <v>-36.844545724761709</v>
      </c>
      <c r="F360" s="8">
        <f t="shared" si="22"/>
        <v>-138.33766983122672</v>
      </c>
      <c r="G360" s="8">
        <f t="shared" si="22"/>
        <v>-76.67533966245341</v>
      </c>
      <c r="H360" s="8">
        <f t="shared" si="22"/>
        <v>46.649320675093179</v>
      </c>
    </row>
    <row r="361" spans="1:8" x14ac:dyDescent="0.2">
      <c r="A361" s="11"/>
      <c r="B361" s="11">
        <v>0.34300000000000003</v>
      </c>
      <c r="C361">
        <f t="shared" si="23"/>
        <v>-44.378257632166793</v>
      </c>
      <c r="D361" s="8">
        <f t="shared" si="22"/>
        <v>-21.548065467951815</v>
      </c>
      <c r="E361" s="8">
        <f t="shared" si="22"/>
        <v>-37.134310168917622</v>
      </c>
      <c r="F361" s="8">
        <f t="shared" si="22"/>
        <v>-138.52112029598283</v>
      </c>
      <c r="G361" s="8">
        <f t="shared" si="22"/>
        <v>-77.042240591965637</v>
      </c>
      <c r="H361" s="8">
        <f t="shared" si="22"/>
        <v>45.915518816068726</v>
      </c>
    </row>
    <row r="362" spans="1:8" x14ac:dyDescent="0.2">
      <c r="A362" s="11"/>
      <c r="B362" s="11">
        <v>0.34399999999999997</v>
      </c>
      <c r="C362">
        <f t="shared" si="23"/>
        <v>-44.494047619047592</v>
      </c>
      <c r="D362" s="8">
        <f t="shared" si="22"/>
        <v>-21.920380823873835</v>
      </c>
      <c r="E362" s="8">
        <f t="shared" si="22"/>
        <v>-37.42321824356393</v>
      </c>
      <c r="F362" s="8">
        <f t="shared" si="22"/>
        <v>-138.70388904274387</v>
      </c>
      <c r="G362" s="8">
        <f t="shared" si="22"/>
        <v>-77.407778085487735</v>
      </c>
      <c r="H362" s="8">
        <f t="shared" si="22"/>
        <v>45.184443829024531</v>
      </c>
    </row>
    <row r="363" spans="1:8" x14ac:dyDescent="0.2">
      <c r="A363" s="11"/>
      <c r="B363" s="11">
        <v>0.34499999999999997</v>
      </c>
      <c r="C363">
        <f t="shared" si="23"/>
        <v>-44.609665427509299</v>
      </c>
      <c r="D363" s="8">
        <f t="shared" si="22"/>
        <v>-22.291580558483361</v>
      </c>
      <c r="E363" s="8">
        <f t="shared" si="22"/>
        <v>-37.711273302048284</v>
      </c>
      <c r="F363" s="8">
        <f t="shared" si="22"/>
        <v>-138.88597910924031</v>
      </c>
      <c r="G363" s="8">
        <f t="shared" si="22"/>
        <v>-77.771958218480606</v>
      </c>
      <c r="H363" s="8">
        <f t="shared" si="22"/>
        <v>44.456083563038788</v>
      </c>
    </row>
    <row r="364" spans="1:8" x14ac:dyDescent="0.2">
      <c r="A364" s="11"/>
      <c r="B364" s="11">
        <v>0.34599999999999997</v>
      </c>
      <c r="C364">
        <f t="shared" si="23"/>
        <v>-44.725111441307575</v>
      </c>
      <c r="D364" s="8">
        <f t="shared" si="22"/>
        <v>-22.661668973977527</v>
      </c>
      <c r="E364" s="8">
        <f t="shared" si="22"/>
        <v>-37.998478681682329</v>
      </c>
      <c r="F364" s="8">
        <f t="shared" si="22"/>
        <v>-139.06739351742212</v>
      </c>
      <c r="G364" s="8">
        <f t="shared" si="22"/>
        <v>-78.134787034844223</v>
      </c>
      <c r="H364" s="8">
        <f t="shared" si="22"/>
        <v>43.730425930311554</v>
      </c>
    </row>
    <row r="365" spans="1:8" x14ac:dyDescent="0.2">
      <c r="A365" s="11"/>
      <c r="B365" s="11">
        <v>0.34699999999999998</v>
      </c>
      <c r="C365">
        <f t="shared" si="23"/>
        <v>-44.840386043058658</v>
      </c>
      <c r="D365" s="8">
        <f t="shared" si="22"/>
        <v>-23.030650352405161</v>
      </c>
      <c r="E365" s="8">
        <f t="shared" si="22"/>
        <v>-38.284837703831627</v>
      </c>
      <c r="F365" s="8">
        <f t="shared" si="22"/>
        <v>-139.24813527355249</v>
      </c>
      <c r="G365" s="8">
        <f t="shared" si="22"/>
        <v>-78.496270547104984</v>
      </c>
      <c r="H365" s="8">
        <f t="shared" si="22"/>
        <v>43.007458905790031</v>
      </c>
    </row>
    <row r="366" spans="1:8" x14ac:dyDescent="0.2">
      <c r="A366" s="11"/>
      <c r="B366" s="11">
        <v>0.34799999999999998</v>
      </c>
      <c r="C366">
        <f t="shared" si="23"/>
        <v>-44.955489614243305</v>
      </c>
      <c r="D366" s="8">
        <f t="shared" si="22"/>
        <v>-23.398528955777799</v>
      </c>
      <c r="E366" s="8">
        <f t="shared" si="22"/>
        <v>-38.570353674004885</v>
      </c>
      <c r="F366" s="8">
        <f t="shared" si="22"/>
        <v>-139.42820736830095</v>
      </c>
      <c r="G366" s="8">
        <f t="shared" si="22"/>
        <v>-78.856414736601863</v>
      </c>
      <c r="H366" s="8">
        <f t="shared" si="22"/>
        <v>42.287170526796274</v>
      </c>
    </row>
    <row r="367" spans="1:8" x14ac:dyDescent="0.2">
      <c r="A367" s="11"/>
      <c r="B367" s="11">
        <v>0.34899999999999998</v>
      </c>
      <c r="C367">
        <f t="shared" si="23"/>
        <v>-45.070422535211264</v>
      </c>
      <c r="D367" s="8">
        <f t="shared" si="22"/>
        <v>-23.765309026179267</v>
      </c>
      <c r="E367" s="8">
        <f t="shared" si="22"/>
        <v>-38.85502988194277</v>
      </c>
      <c r="F367" s="8">
        <f t="shared" si="22"/>
        <v>-139.60761277683551</v>
      </c>
      <c r="G367" s="8">
        <f t="shared" si="22"/>
        <v>-79.215225553671033</v>
      </c>
      <c r="H367" s="8">
        <f t="shared" si="22"/>
        <v>41.569548892657934</v>
      </c>
    </row>
    <row r="368" spans="1:8" x14ac:dyDescent="0.2">
      <c r="A368" s="11"/>
      <c r="B368" s="11">
        <v>0.35</v>
      </c>
      <c r="C368">
        <f t="shared" si="23"/>
        <v>-45.18518518518519</v>
      </c>
      <c r="D368" s="8">
        <f t="shared" si="22"/>
        <v>-24.130994785874663</v>
      </c>
      <c r="E368" s="8">
        <f t="shared" si="22"/>
        <v>-39.138869601705579</v>
      </c>
      <c r="F368" s="8">
        <f t="shared" si="22"/>
        <v>-139.78635445891456</v>
      </c>
      <c r="G368" s="8">
        <f t="shared" si="22"/>
        <v>-79.572708917829104</v>
      </c>
      <c r="H368" s="8">
        <f t="shared" si="22"/>
        <v>40.854582164341792</v>
      </c>
    </row>
    <row r="369" spans="1:8" x14ac:dyDescent="0.2">
      <c r="A369" s="11"/>
      <c r="B369" s="11">
        <v>0.35099999999999998</v>
      </c>
      <c r="C369">
        <f t="shared" si="23"/>
        <v>-45.299777942264996</v>
      </c>
      <c r="D369" s="8">
        <f t="shared" si="22"/>
        <v>-24.495590437419146</v>
      </c>
      <c r="E369" s="8">
        <f t="shared" si="22"/>
        <v>-39.421876091761142</v>
      </c>
      <c r="F369" s="8">
        <f t="shared" si="22"/>
        <v>-139.96443535897788</v>
      </c>
      <c r="G369" s="8">
        <f t="shared" si="22"/>
        <v>-79.92887071795576</v>
      </c>
      <c r="H369" s="8">
        <f t="shared" si="22"/>
        <v>40.142258564088479</v>
      </c>
    </row>
    <row r="370" spans="1:8" x14ac:dyDescent="0.2">
      <c r="A370" s="11"/>
      <c r="B370" s="11">
        <v>0.35199999999999998</v>
      </c>
      <c r="C370">
        <f t="shared" si="23"/>
        <v>-45.414201183431942</v>
      </c>
      <c r="D370" s="8">
        <f t="shared" si="22"/>
        <v>-24.859100163765902</v>
      </c>
      <c r="E370" s="8">
        <f t="shared" si="22"/>
        <v>-39.704052595071957</v>
      </c>
      <c r="F370" s="8">
        <f t="shared" si="22"/>
        <v>-140.14185840623745</v>
      </c>
      <c r="G370" s="8">
        <f t="shared" si="22"/>
        <v>-80.283716812474907</v>
      </c>
      <c r="H370" s="8">
        <f t="shared" si="22"/>
        <v>39.432566375050186</v>
      </c>
    </row>
    <row r="371" spans="1:8" x14ac:dyDescent="0.2">
      <c r="A371" s="11"/>
      <c r="B371" s="11">
        <v>0.35299999999999998</v>
      </c>
      <c r="C371">
        <f t="shared" si="23"/>
        <v>-45.528455284552848</v>
      </c>
      <c r="D371" s="8">
        <f t="shared" si="22"/>
        <v>-25.221528128372888</v>
      </c>
      <c r="E371" s="8">
        <f t="shared" si="22"/>
        <v>-39.985402339181242</v>
      </c>
      <c r="F371" s="8">
        <f t="shared" si="22"/>
        <v>-140.31862651476712</v>
      </c>
      <c r="G371" s="8">
        <f t="shared" si="22"/>
        <v>-80.637253029534264</v>
      </c>
      <c r="H371" s="8">
        <f t="shared" si="22"/>
        <v>38.725493940931472</v>
      </c>
    </row>
    <row r="372" spans="1:8" x14ac:dyDescent="0.2">
      <c r="A372" s="11"/>
      <c r="B372" s="11">
        <v>0.35399999999999998</v>
      </c>
      <c r="C372">
        <f t="shared" si="23"/>
        <v>-45.642540620384068</v>
      </c>
      <c r="D372" s="8">
        <f t="shared" si="22"/>
        <v>-25.582878475309499</v>
      </c>
      <c r="E372" s="8">
        <f t="shared" si="22"/>
        <v>-40.265928536298972</v>
      </c>
      <c r="F372" s="8">
        <f t="shared" si="22"/>
        <v>-140.49474258359209</v>
      </c>
      <c r="G372" s="8">
        <f t="shared" si="22"/>
        <v>-80.989485167184156</v>
      </c>
      <c r="H372" s="8">
        <f t="shared" si="22"/>
        <v>38.021029665631687</v>
      </c>
    </row>
    <row r="373" spans="1:8" x14ac:dyDescent="0.2">
      <c r="A373" s="11"/>
      <c r="B373" s="11">
        <v>0.35499999999999998</v>
      </c>
      <c r="C373">
        <f t="shared" si="23"/>
        <v>-45.756457564575641</v>
      </c>
      <c r="D373" s="8">
        <f t="shared" si="22"/>
        <v>-25.943155329362369</v>
      </c>
      <c r="E373" s="8">
        <f t="shared" si="22"/>
        <v>-40.545634383387281</v>
      </c>
      <c r="F373" s="8">
        <f t="shared" si="22"/>
        <v>-140.67020949677752</v>
      </c>
      <c r="G373" s="8">
        <f t="shared" si="22"/>
        <v>-81.340418993555019</v>
      </c>
      <c r="H373" s="8">
        <f t="shared" si="22"/>
        <v>37.319162012889961</v>
      </c>
    </row>
    <row r="374" spans="1:8" x14ac:dyDescent="0.2">
      <c r="A374" s="11"/>
      <c r="B374" s="11">
        <v>0.35599999999999998</v>
      </c>
      <c r="C374">
        <f t="shared" si="23"/>
        <v>-45.870206489675496</v>
      </c>
      <c r="D374" s="8">
        <f t="shared" si="22"/>
        <v>-26.302362796140564</v>
      </c>
      <c r="E374" s="8">
        <f t="shared" si="22"/>
        <v>-40.824523062245142</v>
      </c>
      <c r="F374" s="8">
        <f t="shared" si="22"/>
        <v>-140.84503012351689</v>
      </c>
      <c r="G374" s="8">
        <f t="shared" si="22"/>
        <v>-81.690060247033799</v>
      </c>
      <c r="H374" s="8">
        <f t="shared" si="22"/>
        <v>36.619879505932403</v>
      </c>
    </row>
    <row r="375" spans="1:8" x14ac:dyDescent="0.2">
      <c r="A375" s="11"/>
      <c r="B375" s="11">
        <v>0.35699999999999998</v>
      </c>
      <c r="C375">
        <f t="shared" si="23"/>
        <v>-45.983787767133379</v>
      </c>
      <c r="D375" s="8">
        <f t="shared" si="22"/>
        <v>-26.660504962180156</v>
      </c>
      <c r="E375" s="8">
        <f t="shared" si="22"/>
        <v>-41.102597739592952</v>
      </c>
      <c r="F375" s="8">
        <f t="shared" si="22"/>
        <v>-141.01920731821957</v>
      </c>
      <c r="G375" s="8">
        <f t="shared" si="22"/>
        <v>-82.038414636439143</v>
      </c>
      <c r="H375" s="8">
        <f t="shared" si="22"/>
        <v>35.923170727121715</v>
      </c>
    </row>
    <row r="376" spans="1:8" x14ac:dyDescent="0.2">
      <c r="A376" s="11"/>
      <c r="B376" s="11">
        <v>0.35799999999999998</v>
      </c>
      <c r="C376">
        <f t="shared" si="23"/>
        <v>-46.097201767304881</v>
      </c>
      <c r="D376" s="8">
        <f t="shared" si="22"/>
        <v>-27.017585895047745</v>
      </c>
      <c r="E376" s="8">
        <f t="shared" si="22"/>
        <v>-41.3798615671557</v>
      </c>
      <c r="F376" s="8">
        <f t="shared" si="22"/>
        <v>-141.19274392059756</v>
      </c>
      <c r="G376" s="8">
        <f t="shared" si="22"/>
        <v>-82.385487841195129</v>
      </c>
      <c r="H376" s="8">
        <f t="shared" si="22"/>
        <v>35.229024317609742</v>
      </c>
    </row>
    <row r="377" spans="1:8" x14ac:dyDescent="0.2">
      <c r="A377" s="11"/>
      <c r="B377" s="11">
        <v>0.35899999999999999</v>
      </c>
      <c r="C377">
        <f t="shared" si="23"/>
        <v>-46.210448859455482</v>
      </c>
      <c r="D377" s="8">
        <f t="shared" si="22"/>
        <v>-27.373609643443821</v>
      </c>
      <c r="E377" s="8">
        <f t="shared" si="22"/>
        <v>-41.656317681746565</v>
      </c>
      <c r="F377" s="8">
        <f t="shared" si="22"/>
        <v>-141.36564275575211</v>
      </c>
      <c r="G377" s="8">
        <f t="shared" si="22"/>
        <v>-82.731285511504225</v>
      </c>
      <c r="H377" s="8">
        <f t="shared" si="22"/>
        <v>34.537428976991549</v>
      </c>
    </row>
    <row r="378" spans="1:8" x14ac:dyDescent="0.2">
      <c r="A378" s="11"/>
      <c r="B378" s="11">
        <v>0.36</v>
      </c>
      <c r="C378">
        <f t="shared" si="23"/>
        <v>-46.323529411764696</v>
      </c>
      <c r="D378" s="8">
        <f t="shared" si="22"/>
        <v>-27.728580237305543</v>
      </c>
      <c r="E378" s="8">
        <f t="shared" si="22"/>
        <v>-41.931969205349525</v>
      </c>
      <c r="F378" s="8">
        <f t="shared" si="22"/>
        <v>-141.53790663425963</v>
      </c>
      <c r="G378" s="8">
        <f t="shared" si="22"/>
        <v>-83.075813268519255</v>
      </c>
      <c r="H378" s="8">
        <f t="shared" si="22"/>
        <v>33.84837346296149</v>
      </c>
    </row>
    <row r="379" spans="1:8" x14ac:dyDescent="0.2">
      <c r="A379" s="11"/>
      <c r="B379" s="11">
        <v>0.36099999999999999</v>
      </c>
      <c r="C379">
        <f t="shared" si="23"/>
        <v>-46.436443791329907</v>
      </c>
      <c r="D379" s="8">
        <f t="shared" si="22"/>
        <v>-28.082501687908454</v>
      </c>
      <c r="E379" s="8">
        <f t="shared" si="22"/>
        <v>-42.206819245201508</v>
      </c>
      <c r="F379" s="8">
        <f t="shared" si="22"/>
        <v>-141.70953835225686</v>
      </c>
      <c r="G379" s="8">
        <f t="shared" si="22"/>
        <v>-83.419076704513714</v>
      </c>
      <c r="H379" s="8">
        <f t="shared" si="22"/>
        <v>33.161846590972573</v>
      </c>
    </row>
    <row r="380" spans="1:8" x14ac:dyDescent="0.2">
      <c r="A380" s="11"/>
      <c r="B380" s="11">
        <v>0.36199999999999999</v>
      </c>
      <c r="C380">
        <f t="shared" si="23"/>
        <v>-46.549192364170352</v>
      </c>
      <c r="D380" s="8">
        <f t="shared" si="22"/>
        <v>-28.435377987967691</v>
      </c>
      <c r="E380" s="8">
        <f t="shared" si="22"/>
        <v>-42.480870893873892</v>
      </c>
      <c r="F380" s="8">
        <f t="shared" si="22"/>
        <v>-141.8805406915256</v>
      </c>
      <c r="G380" s="8">
        <f t="shared" si="22"/>
        <v>-83.761081383051192</v>
      </c>
      <c r="H380" s="8">
        <f t="shared" si="22"/>
        <v>32.477837233897617</v>
      </c>
    </row>
    <row r="381" spans="1:8" x14ac:dyDescent="0.2">
      <c r="A381" s="11"/>
      <c r="B381" s="11">
        <v>0.36299999999999999</v>
      </c>
      <c r="C381">
        <f t="shared" si="23"/>
        <v>-46.661775495231097</v>
      </c>
      <c r="D381" s="8">
        <f t="shared" si="22"/>
        <v>-28.787213111738545</v>
      </c>
      <c r="E381" s="8">
        <f t="shared" si="22"/>
        <v>-42.754127229353564</v>
      </c>
      <c r="F381" s="8">
        <f t="shared" si="22"/>
        <v>-142.05091641957682</v>
      </c>
      <c r="G381" s="8">
        <f t="shared" si="22"/>
        <v>-84.101832839153616</v>
      </c>
      <c r="H381" s="8">
        <f t="shared" si="22"/>
        <v>31.796334321692768</v>
      </c>
    </row>
    <row r="382" spans="1:8" x14ac:dyDescent="0.2">
      <c r="A382" s="11"/>
      <c r="B382" s="11">
        <v>0.36399999999999999</v>
      </c>
      <c r="C382">
        <f t="shared" si="23"/>
        <v>-46.774193548387075</v>
      </c>
      <c r="D382" s="8">
        <f t="shared" si="22"/>
        <v>-29.138011015116987</v>
      </c>
      <c r="E382" s="8">
        <f t="shared" si="22"/>
        <v>-43.026591315123909</v>
      </c>
      <c r="F382" s="8">
        <f t="shared" si="22"/>
        <v>-142.22066828973442</v>
      </c>
      <c r="G382" s="8">
        <f t="shared" si="22"/>
        <v>-84.441336579468867</v>
      </c>
      <c r="H382" s="8">
        <f t="shared" si="22"/>
        <v>31.117326841062265</v>
      </c>
    </row>
    <row r="383" spans="1:8" x14ac:dyDescent="0.2">
      <c r="A383" s="11"/>
      <c r="B383" s="11">
        <v>0.36499999999999999</v>
      </c>
      <c r="C383">
        <f t="shared" si="23"/>
        <v>-46.88644688644689</v>
      </c>
      <c r="D383" s="8">
        <f t="shared" si="22"/>
        <v>-29.487775635738686</v>
      </c>
      <c r="E383" s="8">
        <f t="shared" si="22"/>
        <v>-43.29826620024447</v>
      </c>
      <c r="F383" s="8">
        <f t="shared" si="22"/>
        <v>-142.38979904121828</v>
      </c>
      <c r="G383" s="8">
        <f t="shared" si="22"/>
        <v>-84.779598082436593</v>
      </c>
      <c r="H383" s="8">
        <f t="shared" si="22"/>
        <v>30.440803835126815</v>
      </c>
    </row>
    <row r="384" spans="1:8" x14ac:dyDescent="0.2">
      <c r="A384" s="11"/>
      <c r="B384" s="11">
        <v>0.36599999999999999</v>
      </c>
      <c r="C384">
        <f t="shared" si="23"/>
        <v>-46.998535871156662</v>
      </c>
      <c r="D384" s="8">
        <f t="shared" si="22"/>
        <v>-29.836510893077737</v>
      </c>
      <c r="E384" s="8">
        <f t="shared" si="22"/>
        <v>-43.569154919430709</v>
      </c>
      <c r="F384" s="8">
        <f t="shared" si="22"/>
        <v>-142.5583113992266</v>
      </c>
      <c r="G384" s="8">
        <f t="shared" si="22"/>
        <v>-85.116622798453179</v>
      </c>
      <c r="H384" s="8">
        <f t="shared" si="22"/>
        <v>29.766754403093643</v>
      </c>
    </row>
    <row r="385" spans="1:8" x14ac:dyDescent="0.2">
      <c r="A385" s="11"/>
      <c r="B385" s="11">
        <v>0.36699999999999999</v>
      </c>
      <c r="C385">
        <f t="shared" si="23"/>
        <v>-47.110460863204082</v>
      </c>
      <c r="D385" s="8">
        <f t="shared" si="22"/>
        <v>-30.184220688544961</v>
      </c>
      <c r="E385" s="8">
        <f t="shared" si="22"/>
        <v>-43.839260493132976</v>
      </c>
      <c r="F385" s="8">
        <f t="shared" si="22"/>
        <v>-142.72620807501784</v>
      </c>
      <c r="G385" s="8">
        <f t="shared" si="22"/>
        <v>-85.452416150035674</v>
      </c>
      <c r="H385" s="8">
        <f t="shared" si="22"/>
        <v>29.095167699928652</v>
      </c>
    </row>
    <row r="386" spans="1:8" x14ac:dyDescent="0.2">
      <c r="A386" s="11"/>
      <c r="B386" s="11">
        <v>0.36799999999999999</v>
      </c>
      <c r="C386">
        <f t="shared" si="23"/>
        <v>-47.2222222222222</v>
      </c>
      <c r="D386" s="8">
        <f t="shared" si="22"/>
        <v>-30.530908905585676</v>
      </c>
      <c r="E386" s="8">
        <f t="shared" si="22"/>
        <v>-44.108585927615337</v>
      </c>
      <c r="F386" s="8">
        <f t="shared" si="22"/>
        <v>-142.89349176599248</v>
      </c>
      <c r="G386" s="8">
        <f t="shared" si="22"/>
        <v>-85.786983531984973</v>
      </c>
      <c r="H386" s="8">
        <f t="shared" si="22"/>
        <v>28.426032936030055</v>
      </c>
    </row>
    <row r="387" spans="1:8" x14ac:dyDescent="0.2">
      <c r="A387" s="11"/>
      <c r="B387" s="11">
        <v>0.36899999999999999</v>
      </c>
      <c r="C387">
        <f t="shared" si="23"/>
        <v>-47.333820306793285</v>
      </c>
      <c r="D387" s="8">
        <f t="shared" si="22"/>
        <v>-30.876579409776447</v>
      </c>
      <c r="E387" s="8">
        <f t="shared" si="22"/>
        <v>-44.377134215033571</v>
      </c>
      <c r="F387" s="8">
        <f t="shared" si="22"/>
        <v>-143.06016515577369</v>
      </c>
      <c r="G387" s="8">
        <f t="shared" si="22"/>
        <v>-86.120330311547349</v>
      </c>
      <c r="H387" s="8">
        <f t="shared" si="22"/>
        <v>27.759339376905302</v>
      </c>
    </row>
    <row r="388" spans="1:8" x14ac:dyDescent="0.2">
      <c r="A388" s="11"/>
      <c r="B388" s="11">
        <v>0.37</v>
      </c>
      <c r="C388">
        <f t="shared" si="23"/>
        <v>-47.44525547445258</v>
      </c>
      <c r="D388" s="8">
        <f t="shared" si="22"/>
        <v>-31.22123604892144</v>
      </c>
      <c r="E388" s="8">
        <f t="shared" si="22"/>
        <v>-44.644908333512433</v>
      </c>
      <c r="F388" s="8">
        <f t="shared" si="22"/>
        <v>-143.22623091428756</v>
      </c>
      <c r="G388" s="8">
        <f t="shared" si="22"/>
        <v>-86.452461828575096</v>
      </c>
      <c r="H388" s="8">
        <f t="shared" si="22"/>
        <v>27.095076342849808</v>
      </c>
    </row>
    <row r="389" spans="1:8" x14ac:dyDescent="0.2">
      <c r="A389" s="11"/>
      <c r="B389" s="11">
        <v>0.371</v>
      </c>
      <c r="C389">
        <f t="shared" si="23"/>
        <v>-47.556528081692193</v>
      </c>
      <c r="D389" s="8">
        <f t="shared" ref="D389:H439" si="24">$D$5+(D$6/(1+$B389))+(D$7/(1+$B389)^2)+(D$8/(1+$B389)^3)+(D$9/(1+$B389)^4)</f>
        <v>-31.564882653148167</v>
      </c>
      <c r="E389" s="8">
        <f t="shared" si="24"/>
        <v>-44.911911247223252</v>
      </c>
      <c r="F389" s="8">
        <f t="shared" si="24"/>
        <v>-143.39169169784313</v>
      </c>
      <c r="G389" s="8">
        <f t="shared" si="24"/>
        <v>-86.783383395686272</v>
      </c>
      <c r="H389" s="8">
        <f t="shared" si="24"/>
        <v>26.433233208627456</v>
      </c>
    </row>
    <row r="390" spans="1:8" x14ac:dyDescent="0.2">
      <c r="A390" s="11"/>
      <c r="B390" s="11">
        <v>0.372</v>
      </c>
      <c r="C390">
        <f t="shared" si="23"/>
        <v>-47.667638483964993</v>
      </c>
      <c r="D390" s="8">
        <f t="shared" si="24"/>
        <v>-31.907523035002981</v>
      </c>
      <c r="E390" s="8">
        <f t="shared" si="24"/>
        <v>-45.178145906460315</v>
      </c>
      <c r="F390" s="8">
        <f t="shared" si="24"/>
        <v>-143.55655014921177</v>
      </c>
      <c r="G390" s="8">
        <f t="shared" si="24"/>
        <v>-87.113100298423575</v>
      </c>
      <c r="H390" s="8">
        <f t="shared" si="24"/>
        <v>25.77379940315285</v>
      </c>
    </row>
    <row r="391" spans="1:8" x14ac:dyDescent="0.2">
      <c r="A391" s="11"/>
      <c r="B391" s="11">
        <v>0.373</v>
      </c>
      <c r="C391">
        <f t="shared" si="23"/>
        <v>-47.778587035688275</v>
      </c>
      <c r="D391" s="8">
        <f t="shared" si="24"/>
        <v>-32.249160989545466</v>
      </c>
      <c r="E391" s="8">
        <f t="shared" si="24"/>
        <v>-45.443615247717055</v>
      </c>
      <c r="F391" s="8">
        <f t="shared" si="24"/>
        <v>-143.72080889770584</v>
      </c>
      <c r="G391" s="8">
        <f t="shared" si="24"/>
        <v>-87.441617795411659</v>
      </c>
      <c r="H391" s="8">
        <f t="shared" si="24"/>
        <v>25.116764409176682</v>
      </c>
    </row>
    <row r="392" spans="1:8" x14ac:dyDescent="0.2">
      <c r="A392" s="11"/>
      <c r="B392" s="11">
        <v>0.374</v>
      </c>
      <c r="C392">
        <f t="shared" si="23"/>
        <v>-47.889374090247458</v>
      </c>
      <c r="D392" s="8">
        <f t="shared" si="24"/>
        <v>-32.589800294442284</v>
      </c>
      <c r="E392" s="8">
        <f t="shared" si="24"/>
        <v>-45.708322193761589</v>
      </c>
      <c r="F392" s="8">
        <f t="shared" si="24"/>
        <v>-143.88447055925684</v>
      </c>
      <c r="G392" s="8">
        <f t="shared" si="24"/>
        <v>-87.768941118513666</v>
      </c>
      <c r="H392" s="8">
        <f t="shared" si="24"/>
        <v>24.462117762972667</v>
      </c>
    </row>
    <row r="393" spans="1:8" x14ac:dyDescent="0.2">
      <c r="A393" s="11"/>
      <c r="B393" s="11">
        <v>0.375</v>
      </c>
      <c r="C393">
        <f t="shared" si="23"/>
        <v>-48</v>
      </c>
      <c r="D393" s="8">
        <f t="shared" si="24"/>
        <v>-32.929444710060793</v>
      </c>
      <c r="E393" s="8">
        <f t="shared" si="24"/>
        <v>-45.972269653712189</v>
      </c>
      <c r="F393" s="8">
        <f t="shared" si="24"/>
        <v>-144.04753773649341</v>
      </c>
      <c r="G393" s="8">
        <f t="shared" si="24"/>
        <v>-88.095075472986821</v>
      </c>
      <c r="H393" s="8">
        <f t="shared" si="24"/>
        <v>23.809849054026358</v>
      </c>
    </row>
    <row r="394" spans="1:8" x14ac:dyDescent="0.2">
      <c r="A394" s="11"/>
      <c r="B394" s="11">
        <v>0.376</v>
      </c>
      <c r="C394">
        <f t="shared" si="23"/>
        <v>-48.110465116279045</v>
      </c>
      <c r="D394" s="8">
        <f t="shared" si="24"/>
        <v>-33.268097979562107</v>
      </c>
      <c r="E394" s="8">
        <f t="shared" si="24"/>
        <v>-46.235460523111747</v>
      </c>
      <c r="F394" s="8">
        <f t="shared" si="24"/>
        <v>-144.21001301881859</v>
      </c>
      <c r="G394" s="8">
        <f t="shared" si="24"/>
        <v>-88.420026037637143</v>
      </c>
      <c r="H394" s="8">
        <f t="shared" si="24"/>
        <v>23.159947924725714</v>
      </c>
    </row>
    <row r="395" spans="1:8" x14ac:dyDescent="0.2">
      <c r="A395" s="11"/>
      <c r="B395" s="11">
        <v>0.377</v>
      </c>
      <c r="C395">
        <f t="shared" si="23"/>
        <v>-48.220769789397252</v>
      </c>
      <c r="D395" s="8">
        <f t="shared" si="24"/>
        <v>-33.605763828993126</v>
      </c>
      <c r="E395" s="8">
        <f t="shared" si="24"/>
        <v>-46.497897684002233</v>
      </c>
      <c r="F395" s="8">
        <f t="shared" si="24"/>
        <v>-144.37189898248639</v>
      </c>
      <c r="G395" s="8">
        <f t="shared" si="24"/>
        <v>-88.743797964972757</v>
      </c>
      <c r="H395" s="8">
        <f t="shared" si="24"/>
        <v>22.512404070054487</v>
      </c>
    </row>
    <row r="396" spans="1:8" x14ac:dyDescent="0.2">
      <c r="A396" s="11"/>
      <c r="B396" s="11">
        <v>0.378</v>
      </c>
      <c r="C396">
        <f t="shared" si="23"/>
        <v>-48.330914368650241</v>
      </c>
      <c r="D396" s="8">
        <f t="shared" si="24"/>
        <v>-33.942445967378276</v>
      </c>
      <c r="E396" s="8">
        <f t="shared" si="24"/>
        <v>-46.759584004998331</v>
      </c>
      <c r="F396" s="8">
        <f t="shared" si="24"/>
        <v>-144.53319819067818</v>
      </c>
      <c r="G396" s="8">
        <f t="shared" si="24"/>
        <v>-89.066396381356341</v>
      </c>
      <c r="H396" s="8">
        <f t="shared" si="24"/>
        <v>21.867207237287317</v>
      </c>
    </row>
    <row r="397" spans="1:8" x14ac:dyDescent="0.2">
      <c r="A397" s="11"/>
      <c r="B397" s="11">
        <v>0.379</v>
      </c>
      <c r="C397">
        <f t="shared" si="23"/>
        <v>-48.440899202320509</v>
      </c>
      <c r="D397" s="8">
        <f t="shared" si="24"/>
        <v>-34.278148086810681</v>
      </c>
      <c r="E397" s="8">
        <f t="shared" si="24"/>
        <v>-47.020522341360795</v>
      </c>
      <c r="F397" s="8">
        <f t="shared" si="24"/>
        <v>-144.69391319357834</v>
      </c>
      <c r="G397" s="8">
        <f t="shared" si="24"/>
        <v>-89.387826387156679</v>
      </c>
      <c r="H397" s="8">
        <f t="shared" si="24"/>
        <v>21.224347225686643</v>
      </c>
    </row>
    <row r="398" spans="1:8" x14ac:dyDescent="0.2">
      <c r="A398" s="11"/>
      <c r="B398" s="11">
        <v>0.38</v>
      </c>
      <c r="C398">
        <f t="shared" si="23"/>
        <v>-48.550724637681157</v>
      </c>
      <c r="D398" s="8">
        <f t="shared" si="24"/>
        <v>-34.612873862542969</v>
      </c>
      <c r="E398" s="8">
        <f t="shared" si="24"/>
        <v>-47.280715535069447</v>
      </c>
      <c r="F398" s="8">
        <f t="shared" si="24"/>
        <v>-144.85404652844971</v>
      </c>
      <c r="G398" s="8">
        <f t="shared" si="24"/>
        <v>-89.708093056899429</v>
      </c>
      <c r="H398" s="8">
        <f t="shared" si="24"/>
        <v>20.583813886201142</v>
      </c>
    </row>
    <row r="399" spans="1:8" x14ac:dyDescent="0.2">
      <c r="A399" s="11"/>
      <c r="B399" s="11">
        <v>0.38100000000000001</v>
      </c>
      <c r="C399">
        <f t="shared" si="23"/>
        <v>-48.66039102099927</v>
      </c>
      <c r="D399" s="8">
        <f t="shared" si="24"/>
        <v>-34.946626953077264</v>
      </c>
      <c r="E399" s="8">
        <f t="shared" si="24"/>
        <v>-47.540166414895602</v>
      </c>
      <c r="F399" s="8">
        <f t="shared" si="24"/>
        <v>-145.01360071970822</v>
      </c>
      <c r="G399" s="8">
        <f t="shared" si="24"/>
        <v>-90.027201439416416</v>
      </c>
      <c r="H399" s="8">
        <f t="shared" si="24"/>
        <v>19.945597121167168</v>
      </c>
    </row>
    <row r="400" spans="1:8" x14ac:dyDescent="0.2">
      <c r="A400" s="11"/>
      <c r="B400" s="11">
        <v>0.38200000000000001</v>
      </c>
      <c r="C400">
        <f t="shared" si="23"/>
        <v>-48.769898697539816</v>
      </c>
      <c r="D400" s="8">
        <f t="shared" si="24"/>
        <v>-35.279411000254349</v>
      </c>
      <c r="E400" s="8">
        <f t="shared" si="24"/>
        <v>-47.798877796473711</v>
      </c>
      <c r="F400" s="8">
        <f t="shared" si="24"/>
        <v>-145.17257827899707</v>
      </c>
      <c r="G400" s="8">
        <f t="shared" si="24"/>
        <v>-90.345156557994144</v>
      </c>
      <c r="H400" s="8">
        <f t="shared" si="24"/>
        <v>19.309686884011711</v>
      </c>
    </row>
    <row r="401" spans="1:8" x14ac:dyDescent="0.2">
      <c r="A401" s="11"/>
      <c r="B401" s="11">
        <v>0.38300000000000001</v>
      </c>
      <c r="C401">
        <f t="shared" si="23"/>
        <v>-48.879248011569047</v>
      </c>
      <c r="D401" s="8">
        <f t="shared" si="24"/>
        <v>-35.611229629342972</v>
      </c>
      <c r="E401" s="8">
        <f t="shared" si="24"/>
        <v>-48.056852482373216</v>
      </c>
      <c r="F401" s="8">
        <f t="shared" si="24"/>
        <v>-145.33098170526077</v>
      </c>
      <c r="G401" s="8">
        <f t="shared" si="24"/>
        <v>-90.661963410521551</v>
      </c>
      <c r="H401" s="8">
        <f t="shared" si="24"/>
        <v>18.676073178956898</v>
      </c>
    </row>
    <row r="402" spans="1:8" x14ac:dyDescent="0.2">
      <c r="A402" s="11"/>
      <c r="B402" s="11">
        <v>0.38400000000000001</v>
      </c>
      <c r="C402">
        <f t="shared" si="23"/>
        <v>-48.988439306358373</v>
      </c>
      <c r="D402" s="8">
        <f t="shared" si="24"/>
        <v>-35.942086449128311</v>
      </c>
      <c r="E402" s="8">
        <f t="shared" si="24"/>
        <v>-48.314093262169663</v>
      </c>
      <c r="F402" s="8">
        <f t="shared" si="24"/>
        <v>-145.48881348481837</v>
      </c>
      <c r="G402" s="8">
        <f t="shared" si="24"/>
        <v>-90.977626969636759</v>
      </c>
      <c r="H402" s="8">
        <f t="shared" si="24"/>
        <v>18.044746060726482</v>
      </c>
    </row>
    <row r="403" spans="1:8" x14ac:dyDescent="0.2">
      <c r="A403" s="11"/>
      <c r="B403" s="11">
        <v>0.38500000000000001</v>
      </c>
      <c r="C403">
        <f t="shared" si="23"/>
        <v>-49.097472924187713</v>
      </c>
      <c r="D403" s="8">
        <f t="shared" si="24"/>
        <v>-36.27198505199965</v>
      </c>
      <c r="E403" s="8">
        <f t="shared" si="24"/>
        <v>-48.570602912515156</v>
      </c>
      <c r="F403" s="8">
        <f t="shared" si="24"/>
        <v>-145.6460760914363</v>
      </c>
      <c r="G403" s="8">
        <f t="shared" si="24"/>
        <v>-91.292152182872584</v>
      </c>
      <c r="H403" s="8">
        <f t="shared" si="24"/>
        <v>17.415695634254831</v>
      </c>
    </row>
    <row r="404" spans="1:8" x14ac:dyDescent="0.2">
      <c r="A404" s="11"/>
      <c r="B404" s="11">
        <v>0.38600000000000001</v>
      </c>
      <c r="C404">
        <f t="shared" ref="C404:C467" si="25">$C$5+$C$6/(1+$B404)</f>
        <v>-49.206349206349216</v>
      </c>
      <c r="D404" s="8">
        <f t="shared" si="24"/>
        <v>-36.600929014037746</v>
      </c>
      <c r="E404" s="8">
        <f t="shared" si="24"/>
        <v>-48.826384197208611</v>
      </c>
      <c r="F404" s="8">
        <f t="shared" si="24"/>
        <v>-145.80277198640064</v>
      </c>
      <c r="G404" s="8">
        <f t="shared" si="24"/>
        <v>-91.6055439728013</v>
      </c>
      <c r="H404" s="8">
        <f t="shared" si="24"/>
        <v>16.7889120543974</v>
      </c>
    </row>
    <row r="405" spans="1:8" x14ac:dyDescent="0.2">
      <c r="A405" s="11"/>
      <c r="B405" s="11">
        <v>0.38700000000000001</v>
      </c>
      <c r="C405">
        <f t="shared" si="25"/>
        <v>-49.315068493150676</v>
      </c>
      <c r="D405" s="8">
        <f t="shared" si="24"/>
        <v>-36.928921895101524</v>
      </c>
      <c r="E405" s="8">
        <f t="shared" si="24"/>
        <v>-49.081439867265345</v>
      </c>
      <c r="F405" s="8">
        <f t="shared" si="24"/>
        <v>-145.9589036185892</v>
      </c>
      <c r="G405" s="8">
        <f t="shared" si="24"/>
        <v>-91.917807237178408</v>
      </c>
      <c r="H405" s="8">
        <f t="shared" si="24"/>
        <v>16.164385525643183</v>
      </c>
    </row>
    <row r="406" spans="1:8" x14ac:dyDescent="0.2">
      <c r="A406" s="11"/>
      <c r="B406" s="11">
        <v>0.38800000000000001</v>
      </c>
      <c r="C406">
        <f t="shared" si="25"/>
        <v>-49.423631123919307</v>
      </c>
      <c r="D406" s="8">
        <f t="shared" si="24"/>
        <v>-37.255967238914728</v>
      </c>
      <c r="E406" s="8">
        <f t="shared" si="24"/>
        <v>-49.335772660986855</v>
      </c>
      <c r="F406" s="8">
        <f t="shared" si="24"/>
        <v>-146.11447342454289</v>
      </c>
      <c r="G406" s="8">
        <f t="shared" si="24"/>
        <v>-92.228946849085801</v>
      </c>
      <c r="H406" s="8">
        <f t="shared" si="24"/>
        <v>15.542106301828397</v>
      </c>
    </row>
    <row r="407" spans="1:8" x14ac:dyDescent="0.2">
      <c r="A407" s="11"/>
      <c r="B407" s="11">
        <v>0.38900000000000001</v>
      </c>
      <c r="C407">
        <f t="shared" si="25"/>
        <v>-49.532037437005044</v>
      </c>
      <c r="D407" s="8">
        <f t="shared" si="24"/>
        <v>-37.582068573151403</v>
      </c>
      <c r="E407" s="8">
        <f t="shared" si="24"/>
        <v>-49.589385304029349</v>
      </c>
      <c r="F407" s="8">
        <f t="shared" si="24"/>
        <v>-146.26948382853675</v>
      </c>
      <c r="G407" s="8">
        <f t="shared" si="24"/>
        <v>-92.538967657073471</v>
      </c>
      <c r="H407" s="8">
        <f t="shared" si="24"/>
        <v>14.922064685853059</v>
      </c>
    </row>
    <row r="408" spans="1:8" x14ac:dyDescent="0.2">
      <c r="A408" s="11"/>
      <c r="B408" s="11">
        <v>0.39</v>
      </c>
      <c r="C408">
        <f t="shared" si="25"/>
        <v>-49.64028776978418</v>
      </c>
      <c r="D408" s="8">
        <f t="shared" si="24"/>
        <v>-37.90722940952103</v>
      </c>
      <c r="E408" s="8">
        <f t="shared" si="24"/>
        <v>-49.842280509472268</v>
      </c>
      <c r="F408" s="8">
        <f t="shared" si="24"/>
        <v>-146.42393724265025</v>
      </c>
      <c r="G408" s="8">
        <f t="shared" si="24"/>
        <v>-92.847874485300494</v>
      </c>
      <c r="H408" s="8">
        <f t="shared" si="24"/>
        <v>14.304251029399012</v>
      </c>
    </row>
    <row r="409" spans="1:8" x14ac:dyDescent="0.2">
      <c r="A409" s="11"/>
      <c r="B409" s="11">
        <v>0.39100000000000001</v>
      </c>
      <c r="C409">
        <f t="shared" si="25"/>
        <v>-49.748382458662832</v>
      </c>
      <c r="D409" s="8">
        <f t="shared" si="24"/>
        <v>-38.231453243853359</v>
      </c>
      <c r="E409" s="8">
        <f t="shared" si="24"/>
        <v>-50.094460977886349</v>
      </c>
      <c r="F409" s="8">
        <f t="shared" si="24"/>
        <v>-146.57783606683762</v>
      </c>
      <c r="G409" s="8">
        <f t="shared" si="24"/>
        <v>-93.155672133675267</v>
      </c>
      <c r="H409" s="8">
        <f t="shared" si="24"/>
        <v>13.688655732649465</v>
      </c>
    </row>
    <row r="410" spans="1:8" x14ac:dyDescent="0.2">
      <c r="A410" s="11"/>
      <c r="B410" s="11">
        <v>0.39200000000000002</v>
      </c>
      <c r="C410">
        <f t="shared" si="25"/>
        <v>-49.856321839080437</v>
      </c>
      <c r="D410" s="8">
        <f t="shared" si="24"/>
        <v>-38.554743556182729</v>
      </c>
      <c r="E410" s="8">
        <f t="shared" si="24"/>
        <v>-50.345929397401392</v>
      </c>
      <c r="F410" s="8">
        <f t="shared" si="24"/>
        <v>-146.73118268899742</v>
      </c>
      <c r="G410" s="8">
        <f t="shared" si="24"/>
        <v>-93.462365377994828</v>
      </c>
      <c r="H410" s="8">
        <f t="shared" si="24"/>
        <v>13.075269244010343</v>
      </c>
    </row>
    <row r="411" spans="1:8" x14ac:dyDescent="0.2">
      <c r="A411" s="11"/>
      <c r="B411" s="11">
        <v>0.39300000000000002</v>
      </c>
      <c r="C411">
        <f t="shared" si="25"/>
        <v>-49.964106245513278</v>
      </c>
      <c r="D411" s="8">
        <f t="shared" si="24"/>
        <v>-38.877103810831677</v>
      </c>
      <c r="E411" s="8">
        <f t="shared" si="24"/>
        <v>-50.596688443773324</v>
      </c>
      <c r="F411" s="8">
        <f t="shared" si="24"/>
        <v>-146.88397948504155</v>
      </c>
      <c r="G411" s="8">
        <f t="shared" si="24"/>
        <v>-93.767958970083114</v>
      </c>
      <c r="H411" s="8">
        <f t="shared" si="24"/>
        <v>12.464082059833771</v>
      </c>
    </row>
    <row r="412" spans="1:8" x14ac:dyDescent="0.2">
      <c r="A412" s="11"/>
      <c r="B412" s="11">
        <v>0.39400000000000002</v>
      </c>
      <c r="C412">
        <f t="shared" si="25"/>
        <v>-50.071736011477782</v>
      </c>
      <c r="D412" s="8">
        <f t="shared" si="24"/>
        <v>-39.198537456493924</v>
      </c>
      <c r="E412" s="8">
        <f t="shared" si="24"/>
        <v>-50.8467407804511</v>
      </c>
      <c r="F412" s="8">
        <f t="shared" si="24"/>
        <v>-147.03622881896408</v>
      </c>
      <c r="G412" s="8">
        <f t="shared" si="24"/>
        <v>-94.072457637928153</v>
      </c>
      <c r="H412" s="8">
        <f t="shared" si="24"/>
        <v>11.855084724143694</v>
      </c>
    </row>
    <row r="413" spans="1:8" x14ac:dyDescent="0.2">
      <c r="A413" s="11"/>
      <c r="B413" s="11">
        <v>0.39500000000000002</v>
      </c>
      <c r="C413">
        <f t="shared" si="25"/>
        <v>-50.179211469534039</v>
      </c>
      <c r="D413" s="8">
        <f t="shared" si="24"/>
        <v>-39.519047926317185</v>
      </c>
      <c r="E413" s="8">
        <f t="shared" si="24"/>
        <v>-51.09608905864286</v>
      </c>
      <c r="F413" s="8">
        <f t="shared" si="24"/>
        <v>-147.18793304290944</v>
      </c>
      <c r="G413" s="8">
        <f t="shared" si="24"/>
        <v>-94.375866085818899</v>
      </c>
      <c r="H413" s="8">
        <f t="shared" si="24"/>
        <v>11.248267828362202</v>
      </c>
    </row>
    <row r="414" spans="1:8" x14ac:dyDescent="0.2">
      <c r="A414" s="11"/>
      <c r="B414" s="11">
        <v>0.39600000000000002</v>
      </c>
      <c r="C414">
        <f t="shared" si="25"/>
        <v>-50.286532951289388</v>
      </c>
      <c r="D414" s="8">
        <f t="shared" si="24"/>
        <v>-39.838638637985547</v>
      </c>
      <c r="E414" s="8">
        <f t="shared" si="24"/>
        <v>-51.344735917382216</v>
      </c>
      <c r="F414" s="8">
        <f t="shared" si="24"/>
        <v>-147.33909449724044</v>
      </c>
      <c r="G414" s="8">
        <f t="shared" si="24"/>
        <v>-94.678188994480863</v>
      </c>
      <c r="H414" s="8">
        <f t="shared" si="24"/>
        <v>10.643622011038275</v>
      </c>
    </row>
    <row r="415" spans="1:8" x14ac:dyDescent="0.2">
      <c r="A415" s="11"/>
      <c r="B415" s="11">
        <v>0.39700000000000002</v>
      </c>
      <c r="C415">
        <f t="shared" si="25"/>
        <v>-50.393700787401571</v>
      </c>
      <c r="D415" s="8">
        <f t="shared" si="24"/>
        <v>-40.15731299380095</v>
      </c>
      <c r="E415" s="8">
        <f t="shared" si="24"/>
        <v>-51.592683983593766</v>
      </c>
      <c r="F415" s="8">
        <f t="shared" si="24"/>
        <v>-147.48971551060546</v>
      </c>
      <c r="G415" s="8">
        <f t="shared" si="24"/>
        <v>-94.979431021210914</v>
      </c>
      <c r="H415" s="8">
        <f t="shared" si="24"/>
        <v>10.041137957578172</v>
      </c>
    </row>
    <row r="416" spans="1:8" x14ac:dyDescent="0.2">
      <c r="A416" s="11"/>
      <c r="B416" s="11">
        <v>0.39800000000000002</v>
      </c>
      <c r="C416">
        <f t="shared" si="25"/>
        <v>-50.500715307582283</v>
      </c>
      <c r="D416" s="8">
        <f t="shared" si="24"/>
        <v>-40.475074380764141</v>
      </c>
      <c r="E416" s="8">
        <f t="shared" si="24"/>
        <v>-51.839935872157952</v>
      </c>
      <c r="F416" s="8">
        <f t="shared" si="24"/>
        <v>-147.63979840000547</v>
      </c>
      <c r="G416" s="8">
        <f t="shared" si="24"/>
        <v>-95.279596800010935</v>
      </c>
      <c r="H416" s="8">
        <f t="shared" si="24"/>
        <v>9.4408063999781291</v>
      </c>
    </row>
    <row r="417" spans="1:8" x14ac:dyDescent="0.2">
      <c r="A417" s="11"/>
      <c r="B417" s="11">
        <v>0.39900000000000002</v>
      </c>
      <c r="C417">
        <f t="shared" si="25"/>
        <v>-50.607576840600444</v>
      </c>
      <c r="D417" s="8">
        <f t="shared" si="24"/>
        <v>-40.791926170655806</v>
      </c>
      <c r="E417" s="8">
        <f t="shared" si="24"/>
        <v>-52.086494185976129</v>
      </c>
      <c r="F417" s="8">
        <f t="shared" si="24"/>
        <v>-147.78934547086055</v>
      </c>
      <c r="G417" s="8">
        <f t="shared" si="24"/>
        <v>-95.578690941721135</v>
      </c>
      <c r="H417" s="8">
        <f t="shared" si="24"/>
        <v>8.8426181165577304</v>
      </c>
    </row>
    <row r="418" spans="1:8" x14ac:dyDescent="0.2">
      <c r="A418" s="11"/>
      <c r="B418" s="11">
        <v>0.4</v>
      </c>
      <c r="C418">
        <f t="shared" si="25"/>
        <v>-50.714285714285694</v>
      </c>
      <c r="D418" s="8">
        <f t="shared" si="24"/>
        <v>-41.107871720116577</v>
      </c>
      <c r="E418" s="8">
        <f t="shared" si="24"/>
        <v>-52.332361516034965</v>
      </c>
      <c r="F418" s="8">
        <f t="shared" si="24"/>
        <v>-147.93835901707621</v>
      </c>
      <c r="G418" s="8">
        <f t="shared" si="24"/>
        <v>-95.876718034152404</v>
      </c>
      <c r="H418" s="8">
        <f t="shared" si="24"/>
        <v>8.2465639316951922</v>
      </c>
    </row>
    <row r="419" spans="1:8" x14ac:dyDescent="0.2">
      <c r="A419" s="11"/>
      <c r="B419" s="11">
        <v>0.40100000000000002</v>
      </c>
      <c r="C419">
        <f t="shared" si="25"/>
        <v>-50.820842255531772</v>
      </c>
      <c r="D419" s="8">
        <f t="shared" si="24"/>
        <v>-41.422914370726836</v>
      </c>
      <c r="E419" s="8">
        <f t="shared" si="24"/>
        <v>-52.577540441470241</v>
      </c>
      <c r="F419" s="8">
        <f t="shared" si="24"/>
        <v>-148.08684132110869</v>
      </c>
      <c r="G419" s="8">
        <f t="shared" si="24"/>
        <v>-96.1736826422174</v>
      </c>
      <c r="H419" s="8">
        <f t="shared" si="24"/>
        <v>7.652634715565199</v>
      </c>
    </row>
    <row r="420" spans="1:8" x14ac:dyDescent="0.2">
      <c r="A420" s="11"/>
      <c r="B420" s="11">
        <v>0.40200000000000002</v>
      </c>
      <c r="C420">
        <f t="shared" si="25"/>
        <v>-50.927246790299591</v>
      </c>
      <c r="D420" s="8">
        <f t="shared" si="24"/>
        <v>-41.73705744908564</v>
      </c>
      <c r="E420" s="8">
        <f t="shared" si="24"/>
        <v>-52.822033529630417</v>
      </c>
      <c r="F420" s="8">
        <f t="shared" si="24"/>
        <v>-148.23479465403054</v>
      </c>
      <c r="G420" s="8">
        <f t="shared" si="24"/>
        <v>-96.469589308061074</v>
      </c>
      <c r="H420" s="8">
        <f t="shared" si="24"/>
        <v>7.0608213838778511</v>
      </c>
    </row>
    <row r="421" spans="1:8" x14ac:dyDescent="0.2">
      <c r="A421" s="11"/>
      <c r="B421" s="11">
        <v>0.40300000000000002</v>
      </c>
      <c r="C421">
        <f t="shared" si="25"/>
        <v>-51.033499643620814</v>
      </c>
      <c r="D421" s="8">
        <f t="shared" si="24"/>
        <v>-42.050304266889889</v>
      </c>
      <c r="E421" s="8">
        <f t="shared" si="24"/>
        <v>-53.065843336139899</v>
      </c>
      <c r="F421" s="8">
        <f t="shared" si="24"/>
        <v>-148.38222127559521</v>
      </c>
      <c r="G421" s="8">
        <f t="shared" si="24"/>
        <v>-96.764442551190427</v>
      </c>
      <c r="H421" s="8">
        <f t="shared" si="24"/>
        <v>6.4711148976191453</v>
      </c>
    </row>
    <row r="422" spans="1:8" x14ac:dyDescent="0.2">
      <c r="A422" s="11"/>
      <c r="B422" s="11">
        <v>0.40400000000000003</v>
      </c>
      <c r="C422">
        <f t="shared" si="25"/>
        <v>-51.139601139601126</v>
      </c>
      <c r="D422" s="8">
        <f t="shared" si="24"/>
        <v>-42.362658121012437</v>
      </c>
      <c r="E422" s="8">
        <f t="shared" si="24"/>
        <v>-53.308972404961985</v>
      </c>
      <c r="F422" s="8">
        <f t="shared" si="24"/>
        <v>-148.52912343430177</v>
      </c>
      <c r="G422" s="8">
        <f t="shared" si="24"/>
        <v>-97.058246868603547</v>
      </c>
      <c r="H422" s="8">
        <f t="shared" si="24"/>
        <v>5.8835062627929062</v>
      </c>
    </row>
    <row r="423" spans="1:8" x14ac:dyDescent="0.2">
      <c r="A423" s="11"/>
      <c r="B423" s="11">
        <v>0.40500000000000003</v>
      </c>
      <c r="C423">
        <f t="shared" si="25"/>
        <v>-51.2455516014235</v>
      </c>
      <c r="D423" s="8">
        <f t="shared" si="24"/>
        <v>-42.674122293580076</v>
      </c>
      <c r="E423" s="8">
        <f t="shared" si="24"/>
        <v>-53.551423268461086</v>
      </c>
      <c r="F423" s="8">
        <f t="shared" si="24"/>
        <v>-148.6755033674587</v>
      </c>
      <c r="G423" s="8">
        <f t="shared" si="24"/>
        <v>-97.351006734917377</v>
      </c>
      <c r="H423" s="8">
        <f t="shared" si="24"/>
        <v>5.2979865301652467</v>
      </c>
    </row>
    <row r="424" spans="1:8" x14ac:dyDescent="0.2">
      <c r="A424" s="11"/>
      <c r="B424" s="11">
        <v>0.40600000000000003</v>
      </c>
      <c r="C424">
        <f t="shared" si="25"/>
        <v>-51.351351351351354</v>
      </c>
      <c r="D424" s="8">
        <f t="shared" si="24"/>
        <v>-42.984700052050442</v>
      </c>
      <c r="E424" s="8">
        <f t="shared" si="24"/>
        <v>-53.793198447464718</v>
      </c>
      <c r="F424" s="8">
        <f t="shared" si="24"/>
        <v>-148.82136330124752</v>
      </c>
      <c r="G424" s="8">
        <f t="shared" si="24"/>
        <v>-97.642726602495003</v>
      </c>
      <c r="H424" s="8">
        <f t="shared" si="24"/>
        <v>4.7145467950099942</v>
      </c>
    </row>
    <row r="425" spans="1:8" x14ac:dyDescent="0.2">
      <c r="A425" s="11"/>
      <c r="B425" s="11">
        <v>0.40699999999999997</v>
      </c>
      <c r="C425">
        <f t="shared" si="25"/>
        <v>-51.457000710732046</v>
      </c>
      <c r="D425" s="8">
        <f t="shared" si="24"/>
        <v>-43.294394649289359</v>
      </c>
      <c r="E425" s="8">
        <f t="shared" si="24"/>
        <v>-54.034300451325237</v>
      </c>
      <c r="F425" s="8">
        <f t="shared" si="24"/>
        <v>-148.96670545078598</v>
      </c>
      <c r="G425" s="8">
        <f t="shared" si="24"/>
        <v>-97.933410901571932</v>
      </c>
      <c r="H425" s="8">
        <f t="shared" si="24"/>
        <v>4.1331781968561359</v>
      </c>
    </row>
    <row r="426" spans="1:8" x14ac:dyDescent="0.2">
      <c r="A426" s="11"/>
      <c r="B426" s="11">
        <v>0.40799999999999997</v>
      </c>
      <c r="C426">
        <f t="shared" si="25"/>
        <v>-51.5625</v>
      </c>
      <c r="D426" s="8">
        <f t="shared" si="24"/>
        <v>-43.603209323647235</v>
      </c>
      <c r="E426" s="8">
        <f t="shared" si="24"/>
        <v>-54.274731777981387</v>
      </c>
      <c r="F426" s="8">
        <f t="shared" si="24"/>
        <v>-149.11153202019105</v>
      </c>
      <c r="G426" s="8">
        <f t="shared" si="24"/>
        <v>-98.223064040382084</v>
      </c>
      <c r="H426" s="8">
        <f t="shared" si="24"/>
        <v>3.5538719192358315</v>
      </c>
    </row>
    <row r="427" spans="1:8" x14ac:dyDescent="0.2">
      <c r="A427" s="11"/>
      <c r="B427" s="11">
        <v>0.40899999999999997</v>
      </c>
      <c r="C427">
        <f t="shared" si="25"/>
        <v>-51.667849538679917</v>
      </c>
      <c r="D427" s="8">
        <f t="shared" si="24"/>
        <v>-43.911147299034852</v>
      </c>
      <c r="E427" s="8">
        <f t="shared" si="24"/>
        <v>-54.514494914018812</v>
      </c>
      <c r="F427" s="8">
        <f t="shared" si="24"/>
        <v>-149.2558452026411</v>
      </c>
      <c r="G427" s="8">
        <f t="shared" si="24"/>
        <v>-98.511690405282195</v>
      </c>
      <c r="H427" s="8">
        <f t="shared" si="24"/>
        <v>2.9766191894356098</v>
      </c>
    </row>
    <row r="428" spans="1:8" x14ac:dyDescent="0.2">
      <c r="A428" s="11"/>
      <c r="B428" s="11">
        <v>0.41</v>
      </c>
      <c r="C428">
        <f t="shared" si="25"/>
        <v>-51.773049645390074</v>
      </c>
      <c r="D428" s="8">
        <f t="shared" si="24"/>
        <v>-44.218211784998751</v>
      </c>
      <c r="E428" s="8">
        <f t="shared" si="24"/>
        <v>-54.753592334730648</v>
      </c>
      <c r="F428" s="8">
        <f t="shared" si="24"/>
        <v>-149.39964718043791</v>
      </c>
      <c r="G428" s="8">
        <f t="shared" si="24"/>
        <v>-98.799294360875791</v>
      </c>
      <c r="H428" s="8">
        <f t="shared" si="24"/>
        <v>2.4014112782484176</v>
      </c>
    </row>
    <row r="429" spans="1:8" x14ac:dyDescent="0.2">
      <c r="A429" s="11"/>
      <c r="B429" s="11">
        <v>0.41099999999999998</v>
      </c>
      <c r="C429">
        <f t="shared" si="25"/>
        <v>-51.878100637845506</v>
      </c>
      <c r="D429" s="8">
        <f t="shared" si="24"/>
        <v>-44.524405976796793</v>
      </c>
      <c r="E429" s="8">
        <f t="shared" si="24"/>
        <v>-54.992026504177993</v>
      </c>
      <c r="F429" s="8">
        <f t="shared" si="24"/>
        <v>-149.54294012506838</v>
      </c>
      <c r="G429" s="8">
        <f t="shared" si="24"/>
        <v>-99.085880250136768</v>
      </c>
      <c r="H429" s="8">
        <f t="shared" si="24"/>
        <v>1.8282394997264646</v>
      </c>
    </row>
    <row r="430" spans="1:8" x14ac:dyDescent="0.2">
      <c r="A430" s="11"/>
      <c r="B430" s="11">
        <v>0.41199999999999998</v>
      </c>
      <c r="C430">
        <f t="shared" si="25"/>
        <v>-51.983002832861189</v>
      </c>
      <c r="D430" s="8">
        <f t="shared" si="24"/>
        <v>-44.829733055472182</v>
      </c>
      <c r="E430" s="8">
        <f t="shared" si="24"/>
        <v>-55.22979987524932</v>
      </c>
      <c r="F430" s="8">
        <f t="shared" si="24"/>
        <v>-149.68572619726564</v>
      </c>
      <c r="G430" s="8">
        <f t="shared" si="24"/>
        <v>-99.371452394531303</v>
      </c>
      <c r="H430" s="8">
        <f t="shared" si="24"/>
        <v>1.2570952109373934</v>
      </c>
    </row>
    <row r="431" spans="1:8" x14ac:dyDescent="0.2">
      <c r="A431" s="11"/>
      <c r="B431" s="11">
        <v>0.41299999999999998</v>
      </c>
      <c r="C431">
        <f t="shared" si="25"/>
        <v>-52.08775654635528</v>
      </c>
      <c r="D431" s="8">
        <f t="shared" si="24"/>
        <v>-45.13419618792819</v>
      </c>
      <c r="E431" s="8">
        <f t="shared" si="24"/>
        <v>-55.466914889720279</v>
      </c>
      <c r="F431" s="8">
        <f t="shared" si="24"/>
        <v>-149.82800754707</v>
      </c>
      <c r="G431" s="8">
        <f t="shared" si="24"/>
        <v>-99.656015094140031</v>
      </c>
      <c r="H431" s="8">
        <f t="shared" si="24"/>
        <v>0.68796981171993821</v>
      </c>
    </row>
    <row r="432" spans="1:8" x14ac:dyDescent="0.2">
      <c r="A432" s="11"/>
      <c r="B432" s="11">
        <v>0.41399999999999998</v>
      </c>
      <c r="C432">
        <f t="shared" si="25"/>
        <v>-52.192362093352187</v>
      </c>
      <c r="D432" s="8">
        <f t="shared" si="24"/>
        <v>-45.437798527001299</v>
      </c>
      <c r="E432" s="8">
        <f t="shared" si="24"/>
        <v>-55.703373978312349</v>
      </c>
      <c r="F432" s="8">
        <f t="shared" si="24"/>
        <v>-149.96978631388919</v>
      </c>
      <c r="G432" s="8">
        <f t="shared" si="24"/>
        <v>-99.939572627778375</v>
      </c>
      <c r="H432" s="8">
        <f t="shared" si="24"/>
        <v>0.12085474444324973</v>
      </c>
    </row>
    <row r="433" spans="1:8" x14ac:dyDescent="0.2">
      <c r="A433" s="11"/>
      <c r="B433" s="11">
        <v>0.41499999999999998</v>
      </c>
      <c r="C433">
        <f t="shared" si="25"/>
        <v>-52.296819787985868</v>
      </c>
      <c r="D433" s="8">
        <f t="shared" si="24"/>
        <v>-45.740543211535183</v>
      </c>
      <c r="E433" s="8">
        <f t="shared" si="24"/>
        <v>-55.939179560752137</v>
      </c>
      <c r="F433" s="8">
        <f t="shared" si="24"/>
        <v>-150.11106462655857</v>
      </c>
      <c r="G433" s="8">
        <f t="shared" si="24"/>
        <v>-100.22212925311716</v>
      </c>
      <c r="H433" s="8">
        <f t="shared" si="24"/>
        <v>-0.44425850623431984</v>
      </c>
    </row>
    <row r="434" spans="1:8" x14ac:dyDescent="0.2">
      <c r="A434" s="11"/>
      <c r="B434" s="11">
        <v>0.41599999999999998</v>
      </c>
      <c r="C434">
        <f t="shared" si="25"/>
        <v>-52.401129943502809</v>
      </c>
      <c r="D434" s="8">
        <f t="shared" si="24"/>
        <v>-46.042433366452713</v>
      </c>
      <c r="E434" s="8">
        <f t="shared" si="24"/>
        <v>-56.174334045829042</v>
      </c>
      <c r="F434" s="8">
        <f t="shared" si="24"/>
        <v>-150.25184460340074</v>
      </c>
      <c r="G434" s="8">
        <f t="shared" si="24"/>
        <v>-100.50368920680145</v>
      </c>
      <c r="H434" s="8">
        <f t="shared" si="24"/>
        <v>-1.0073784136029076</v>
      </c>
    </row>
    <row r="435" spans="1:8" x14ac:dyDescent="0.2">
      <c r="A435" s="11"/>
      <c r="B435" s="11">
        <v>0.41699999999999998</v>
      </c>
      <c r="C435">
        <f t="shared" si="25"/>
        <v>-52.505292872265358</v>
      </c>
      <c r="D435" s="8">
        <f t="shared" si="24"/>
        <v>-46.343472102829267</v>
      </c>
      <c r="E435" s="8">
        <f t="shared" si="24"/>
        <v>-56.408839831453918</v>
      </c>
      <c r="F435" s="8">
        <f t="shared" si="24"/>
        <v>-150.39212835228483</v>
      </c>
      <c r="G435" s="8">
        <f t="shared" si="24"/>
        <v>-100.78425670456964</v>
      </c>
      <c r="H435" s="8">
        <f t="shared" si="24"/>
        <v>-1.5685134091392854</v>
      </c>
    </row>
    <row r="436" spans="1:8" x14ac:dyDescent="0.2">
      <c r="A436" s="11"/>
      <c r="B436" s="11">
        <v>0.41799999999999998</v>
      </c>
      <c r="C436">
        <f t="shared" si="25"/>
        <v>-52.609308885754587</v>
      </c>
      <c r="D436" s="8">
        <f t="shared" si="24"/>
        <v>-46.643662517963961</v>
      </c>
      <c r="E436" s="8">
        <f t="shared" si="24"/>
        <v>-56.642699304716217</v>
      </c>
      <c r="F436" s="8">
        <f t="shared" si="24"/>
        <v>-150.53191797068538</v>
      </c>
      <c r="G436" s="8">
        <f t="shared" si="24"/>
        <v>-101.06383594137075</v>
      </c>
      <c r="H436" s="8">
        <f t="shared" si="24"/>
        <v>-2.1276718827415095</v>
      </c>
    </row>
    <row r="437" spans="1:8" x14ac:dyDescent="0.2">
      <c r="A437" s="11"/>
      <c r="B437" s="11">
        <v>0.41899999999999998</v>
      </c>
      <c r="C437">
        <f t="shared" si="25"/>
        <v>-52.713178294573652</v>
      </c>
      <c r="D437" s="8">
        <f t="shared" si="24"/>
        <v>-46.943007695451712</v>
      </c>
      <c r="E437" s="8">
        <f t="shared" si="24"/>
        <v>-56.875914841941679</v>
      </c>
      <c r="F437" s="8">
        <f t="shared" si="24"/>
        <v>-150.67121554574101</v>
      </c>
      <c r="G437" s="8">
        <f t="shared" si="24"/>
        <v>-101.34243109148201</v>
      </c>
      <c r="H437" s="8">
        <f t="shared" si="24"/>
        <v>-2.6848621829640251</v>
      </c>
    </row>
    <row r="438" spans="1:8" x14ac:dyDescent="0.2">
      <c r="A438" s="11"/>
      <c r="B438" s="11">
        <v>0.42</v>
      </c>
      <c r="C438">
        <f t="shared" si="25"/>
        <v>-52.81690140845069</v>
      </c>
      <c r="D438" s="8">
        <f t="shared" si="24"/>
        <v>-47.241510705254008</v>
      </c>
      <c r="E438" s="8">
        <f t="shared" si="24"/>
        <v>-57.108488808749009</v>
      </c>
      <c r="F438" s="8">
        <f t="shared" si="24"/>
        <v>-150.81002315431238</v>
      </c>
      <c r="G438" s="8">
        <f t="shared" si="24"/>
        <v>-101.62004630862475</v>
      </c>
      <c r="H438" s="8">
        <f t="shared" si="24"/>
        <v>-3.2400926172495019</v>
      </c>
    </row>
    <row r="439" spans="1:8" x14ac:dyDescent="0.2">
      <c r="A439" s="11"/>
      <c r="B439" s="11">
        <v>0.42099999999999999</v>
      </c>
      <c r="C439">
        <f t="shared" si="25"/>
        <v>-52.920478536242086</v>
      </c>
      <c r="D439" s="8">
        <f t="shared" si="24"/>
        <v>-47.539174603769943</v>
      </c>
      <c r="E439" s="8">
        <f t="shared" si="24"/>
        <v>-57.340423560106679</v>
      </c>
      <c r="F439" s="8">
        <f t="shared" si="24"/>
        <v>-150.94834286304021</v>
      </c>
      <c r="G439" s="8">
        <f t="shared" si="24"/>
        <v>-101.89668572608041</v>
      </c>
      <c r="H439" s="8">
        <f t="shared" si="24"/>
        <v>-3.7933714521608124</v>
      </c>
    </row>
    <row r="440" spans="1:8" x14ac:dyDescent="0.2">
      <c r="A440" s="11"/>
      <c r="B440" s="11">
        <v>0.42199999999999999</v>
      </c>
      <c r="C440">
        <f t="shared" si="25"/>
        <v>-53.02390998593529</v>
      </c>
      <c r="D440" s="8">
        <f t="shared" ref="D440:H490" si="26">$D$5+(D$6/(1+$B440))+(D$7/(1+$B440)^2)+(D$8/(1+$B440)^3)+(D$9/(1+$B440)^4)</f>
        <v>-47.836002433906138</v>
      </c>
      <c r="E440" s="8">
        <f t="shared" si="26"/>
        <v>-57.571721440389005</v>
      </c>
      <c r="F440" s="8">
        <f t="shared" si="26"/>
        <v>-151.08617672840251</v>
      </c>
      <c r="G440" s="8">
        <f t="shared" si="26"/>
        <v>-102.17235345680501</v>
      </c>
      <c r="H440" s="8">
        <f t="shared" si="26"/>
        <v>-4.3447069136100254</v>
      </c>
    </row>
    <row r="441" spans="1:8" x14ac:dyDescent="0.2">
      <c r="A441" s="11"/>
      <c r="B441" s="11">
        <v>0.42299999999999999</v>
      </c>
      <c r="C441">
        <f t="shared" si="25"/>
        <v>-53.127196064652139</v>
      </c>
      <c r="D441" s="8">
        <f t="shared" si="26"/>
        <v>-48.131997225147067</v>
      </c>
      <c r="E441" s="8">
        <f t="shared" si="26"/>
        <v>-57.802384783432451</v>
      </c>
      <c r="F441" s="8">
        <f t="shared" si="26"/>
        <v>-151.22352679677186</v>
      </c>
      <c r="G441" s="8">
        <f t="shared" si="26"/>
        <v>-102.44705359354374</v>
      </c>
      <c r="H441" s="8">
        <f t="shared" si="26"/>
        <v>-4.894107187087485</v>
      </c>
    </row>
    <row r="442" spans="1:8" x14ac:dyDescent="0.2">
      <c r="A442" s="11"/>
      <c r="B442" s="11">
        <v>0.42399999999999999</v>
      </c>
      <c r="C442">
        <f t="shared" si="25"/>
        <v>-53.230337078651672</v>
      </c>
      <c r="D442" s="8">
        <f t="shared" si="26"/>
        <v>-48.427161993624019</v>
      </c>
      <c r="E442" s="8">
        <f t="shared" si="26"/>
        <v>-58.032415912590686</v>
      </c>
      <c r="F442" s="8">
        <f t="shared" si="26"/>
        <v>-151.36039510447196</v>
      </c>
      <c r="G442" s="8">
        <f t="shared" si="26"/>
        <v>-102.72079020894391</v>
      </c>
      <c r="H442" s="8">
        <f t="shared" si="26"/>
        <v>-5.4415804178878204</v>
      </c>
    </row>
    <row r="443" spans="1:8" x14ac:dyDescent="0.2">
      <c r="A443" s="11"/>
      <c r="B443" s="11">
        <v>0.42499999999999999</v>
      </c>
      <c r="C443">
        <f t="shared" si="25"/>
        <v>-53.333333333333343</v>
      </c>
      <c r="D443" s="8">
        <f t="shared" si="26"/>
        <v>-48.721499742184577</v>
      </c>
      <c r="E443" s="8">
        <f t="shared" si="26"/>
        <v>-58.261817140790356</v>
      </c>
      <c r="F443" s="8">
        <f t="shared" si="26"/>
        <v>-151.49678367783406</v>
      </c>
      <c r="G443" s="8">
        <f t="shared" si="26"/>
        <v>-102.99356735566813</v>
      </c>
      <c r="H443" s="8">
        <f t="shared" si="26"/>
        <v>-5.9871347113362674</v>
      </c>
    </row>
    <row r="444" spans="1:8" x14ac:dyDescent="0.2">
      <c r="A444" s="11"/>
      <c r="B444" s="11">
        <v>0.42599999999999999</v>
      </c>
      <c r="C444">
        <f t="shared" si="25"/>
        <v>-53.436185133239832</v>
      </c>
      <c r="D444" s="8">
        <f t="shared" si="26"/>
        <v>-49.015013460460835</v>
      </c>
      <c r="E444" s="8">
        <f t="shared" si="26"/>
        <v>-58.490590770585641</v>
      </c>
      <c r="F444" s="8">
        <f t="shared" si="26"/>
        <v>-151.63269453325293</v>
      </c>
      <c r="G444" s="8">
        <f t="shared" si="26"/>
        <v>-103.26538906650585</v>
      </c>
      <c r="H444" s="8">
        <f t="shared" si="26"/>
        <v>-6.5307781330116939</v>
      </c>
    </row>
    <row r="445" spans="1:8" x14ac:dyDescent="0.2">
      <c r="A445" s="11"/>
      <c r="B445" s="11">
        <v>0.42699999999999999</v>
      </c>
      <c r="C445">
        <f t="shared" si="25"/>
        <v>-53.538892782060259</v>
      </c>
      <c r="D445" s="8">
        <f t="shared" si="26"/>
        <v>-49.30770612493815</v>
      </c>
      <c r="E445" s="8">
        <f t="shared" si="26"/>
        <v>-58.718739094213134</v>
      </c>
      <c r="F445" s="8">
        <f t="shared" si="26"/>
        <v>-151.76812967724257</v>
      </c>
      <c r="G445" s="8">
        <f t="shared" si="26"/>
        <v>-103.53625935448513</v>
      </c>
      <c r="H445" s="8">
        <f t="shared" si="26"/>
        <v>-7.0725187089702501</v>
      </c>
    </row>
    <row r="446" spans="1:8" x14ac:dyDescent="0.2">
      <c r="A446" s="11"/>
      <c r="B446" s="11">
        <v>0.42799999999999999</v>
      </c>
      <c r="C446">
        <f t="shared" si="25"/>
        <v>-53.641456582633054</v>
      </c>
      <c r="D446" s="8">
        <f t="shared" si="26"/>
        <v>-49.599580699022269</v>
      </c>
      <c r="E446" s="8">
        <f t="shared" si="26"/>
        <v>-58.946264393645833</v>
      </c>
      <c r="F446" s="8">
        <f t="shared" si="26"/>
        <v>-151.90309110649133</v>
      </c>
      <c r="G446" s="8">
        <f t="shared" si="26"/>
        <v>-103.80618221298266</v>
      </c>
      <c r="H446" s="8">
        <f t="shared" si="26"/>
        <v>-7.6123644259653247</v>
      </c>
    </row>
    <row r="447" spans="1:8" x14ac:dyDescent="0.2">
      <c r="A447" s="11"/>
      <c r="B447" s="11">
        <v>0.42899999999999999</v>
      </c>
      <c r="C447">
        <f t="shared" si="25"/>
        <v>-53.743876836948914</v>
      </c>
      <c r="D447" s="8">
        <f t="shared" si="26"/>
        <v>-49.890640133107645</v>
      </c>
      <c r="E447" s="8">
        <f t="shared" si="26"/>
        <v>-59.17316894064745</v>
      </c>
      <c r="F447" s="8">
        <f t="shared" si="26"/>
        <v>-152.03758080791721</v>
      </c>
      <c r="G447" s="8">
        <f t="shared" si="26"/>
        <v>-104.0751616158344</v>
      </c>
      <c r="H447" s="8">
        <f t="shared" si="26"/>
        <v>-8.150323231668807</v>
      </c>
    </row>
    <row r="448" spans="1:8" x14ac:dyDescent="0.2">
      <c r="A448" s="11"/>
      <c r="B448" s="11">
        <v>0.43</v>
      </c>
      <c r="C448">
        <f t="shared" si="25"/>
        <v>-53.84615384615384</v>
      </c>
      <c r="D448" s="8">
        <f t="shared" si="26"/>
        <v>-50.180887364643475</v>
      </c>
      <c r="E448" s="8">
        <f t="shared" si="26"/>
        <v>-59.399454996825476</v>
      </c>
      <c r="F448" s="8">
        <f t="shared" si="26"/>
        <v>-152.17160075872198</v>
      </c>
      <c r="G448" s="8">
        <f t="shared" si="26"/>
        <v>-104.34320151744394</v>
      </c>
      <c r="H448" s="8">
        <f t="shared" si="26"/>
        <v>-8.6864030348878885</v>
      </c>
    </row>
    <row r="449" spans="1:8" x14ac:dyDescent="0.2">
      <c r="A449" s="11"/>
      <c r="B449" s="11">
        <v>0.43099999999999999</v>
      </c>
      <c r="C449">
        <f t="shared" si="25"/>
        <v>-53.948287910552068</v>
      </c>
      <c r="D449" s="8">
        <f t="shared" si="26"/>
        <v>-50.47032531820124</v>
      </c>
      <c r="E449" s="8">
        <f t="shared" si="26"/>
        <v>-59.62512481368514</v>
      </c>
      <c r="F449" s="8">
        <f t="shared" si="26"/>
        <v>-152.30515292644591</v>
      </c>
      <c r="G449" s="8">
        <f t="shared" si="26"/>
        <v>-104.61030585289181</v>
      </c>
      <c r="H449" s="8">
        <f t="shared" si="26"/>
        <v>-9.2206117057836252</v>
      </c>
    </row>
    <row r="450" spans="1:8" x14ac:dyDescent="0.2">
      <c r="A450" s="11"/>
      <c r="B450" s="11">
        <v>0.432</v>
      </c>
      <c r="C450">
        <f t="shared" si="25"/>
        <v>-54.050279329608941</v>
      </c>
      <c r="D450" s="8">
        <f t="shared" si="26"/>
        <v>-50.758956905540323</v>
      </c>
      <c r="E450" s="8">
        <f t="shared" si="26"/>
        <v>-59.85018063268182</v>
      </c>
      <c r="F450" s="8">
        <f t="shared" si="26"/>
        <v>-152.43823926902138</v>
      </c>
      <c r="G450" s="8">
        <f t="shared" si="26"/>
        <v>-104.87647853804273</v>
      </c>
      <c r="H450" s="8">
        <f t="shared" si="26"/>
        <v>-9.7529570760854654</v>
      </c>
    </row>
    <row r="451" spans="1:8" x14ac:dyDescent="0.2">
      <c r="A451" s="11"/>
      <c r="B451" s="11">
        <v>0.433</v>
      </c>
      <c r="C451">
        <f t="shared" si="25"/>
        <v>-54.152128401953945</v>
      </c>
      <c r="D451" s="8">
        <f t="shared" si="26"/>
        <v>-51.046785025674133</v>
      </c>
      <c r="E451" s="8">
        <f t="shared" si="26"/>
        <v>-60.074624685274081</v>
      </c>
      <c r="F451" s="8">
        <f t="shared" si="26"/>
        <v>-152.57086173482656</v>
      </c>
      <c r="G451" s="8">
        <f t="shared" si="26"/>
        <v>-105.1417234696531</v>
      </c>
      <c r="H451" s="8">
        <f t="shared" si="26"/>
        <v>-10.283446939306202</v>
      </c>
    </row>
    <row r="452" spans="1:8" x14ac:dyDescent="0.2">
      <c r="A452" s="11"/>
      <c r="B452" s="11">
        <v>0.434</v>
      </c>
      <c r="C452">
        <f t="shared" si="25"/>
        <v>-54.253835425383528</v>
      </c>
      <c r="D452" s="8">
        <f t="shared" si="26"/>
        <v>-51.333812564935407</v>
      </c>
      <c r="E452" s="8">
        <f t="shared" si="26"/>
        <v>-60.298459192975734</v>
      </c>
      <c r="F452" s="8">
        <f t="shared" si="26"/>
        <v>-152.70302226273861</v>
      </c>
      <c r="G452" s="8">
        <f t="shared" si="26"/>
        <v>-105.40604452547726</v>
      </c>
      <c r="H452" s="8">
        <f t="shared" si="26"/>
        <v>-10.812089050954512</v>
      </c>
    </row>
    <row r="453" spans="1:8" x14ac:dyDescent="0.2">
      <c r="A453" s="11"/>
      <c r="B453" s="11">
        <v>0.435</v>
      </c>
      <c r="C453">
        <f t="shared" si="25"/>
        <v>-54.355400696864109</v>
      </c>
      <c r="D453" s="8">
        <f t="shared" si="26"/>
        <v>-51.620042397041622</v>
      </c>
      <c r="E453" s="8">
        <f t="shared" si="26"/>
        <v>-60.521686367408172</v>
      </c>
      <c r="F453" s="8">
        <f t="shared" si="26"/>
        <v>-152.83472278218687</v>
      </c>
      <c r="G453" s="8">
        <f t="shared" si="26"/>
        <v>-105.66944556437373</v>
      </c>
      <c r="H453" s="8">
        <f t="shared" si="26"/>
        <v>-11.338891128747463</v>
      </c>
    </row>
    <row r="454" spans="1:8" x14ac:dyDescent="0.2">
      <c r="A454" s="11"/>
      <c r="B454" s="11">
        <v>0.436</v>
      </c>
      <c r="C454">
        <f t="shared" si="25"/>
        <v>-54.456824512534808</v>
      </c>
      <c r="D454" s="8">
        <f t="shared" si="26"/>
        <v>-51.905477383159202</v>
      </c>
      <c r="E454" s="8">
        <f t="shared" si="26"/>
        <v>-60.744308410351714</v>
      </c>
      <c r="F454" s="8">
        <f t="shared" si="26"/>
        <v>-152.96596521320487</v>
      </c>
      <c r="G454" s="8">
        <f t="shared" si="26"/>
        <v>-105.93193042640976</v>
      </c>
      <c r="H454" s="8">
        <f t="shared" si="26"/>
        <v>-11.863860852819528</v>
      </c>
    </row>
    <row r="455" spans="1:8" x14ac:dyDescent="0.2">
      <c r="A455" s="11"/>
      <c r="B455" s="11">
        <v>0.437</v>
      </c>
      <c r="C455">
        <f t="shared" si="25"/>
        <v>-54.558107167710517</v>
      </c>
      <c r="D455" s="8">
        <f t="shared" si="26"/>
        <v>-52.190120371968305</v>
      </c>
      <c r="E455" s="8">
        <f t="shared" si="26"/>
        <v>-60.966327513797452</v>
      </c>
      <c r="F455" s="8">
        <f t="shared" si="26"/>
        <v>-153.0967514664832</v>
      </c>
      <c r="G455" s="8">
        <f t="shared" si="26"/>
        <v>-106.19350293296638</v>
      </c>
      <c r="H455" s="8">
        <f t="shared" si="26"/>
        <v>-12.387005865932764</v>
      </c>
    </row>
    <row r="456" spans="1:8" x14ac:dyDescent="0.2">
      <c r="A456" s="11"/>
      <c r="B456" s="11">
        <v>0.438</v>
      </c>
      <c r="C456">
        <f t="shared" si="25"/>
        <v>-54.659248956884568</v>
      </c>
      <c r="D456" s="8">
        <f t="shared" si="26"/>
        <v>-52.473974199726392</v>
      </c>
      <c r="E456" s="8">
        <f t="shared" si="26"/>
        <v>-61.187745859997939</v>
      </c>
      <c r="F456" s="8">
        <f t="shared" si="26"/>
        <v>-153.22708344342095</v>
      </c>
      <c r="G456" s="8">
        <f t="shared" si="26"/>
        <v>-106.45416688684193</v>
      </c>
      <c r="H456" s="8">
        <f t="shared" si="26"/>
        <v>-12.908333773683864</v>
      </c>
    </row>
    <row r="457" spans="1:8" x14ac:dyDescent="0.2">
      <c r="A457" s="11"/>
      <c r="B457" s="11">
        <v>0.439</v>
      </c>
      <c r="C457">
        <f t="shared" si="25"/>
        <v>-54.760250173731777</v>
      </c>
      <c r="D457" s="8">
        <f t="shared" si="26"/>
        <v>-52.757041690332017</v>
      </c>
      <c r="E457" s="8">
        <f t="shared" si="26"/>
        <v>-61.408565621518278</v>
      </c>
      <c r="F457" s="8">
        <f t="shared" si="26"/>
        <v>-153.35696303617769</v>
      </c>
      <c r="G457" s="8">
        <f t="shared" si="26"/>
        <v>-106.71392607235539</v>
      </c>
      <c r="H457" s="8">
        <f t="shared" si="26"/>
        <v>-13.427852144710783</v>
      </c>
    </row>
    <row r="458" spans="1:8" x14ac:dyDescent="0.2">
      <c r="A458" s="11"/>
      <c r="B458" s="11">
        <v>0.44</v>
      </c>
      <c r="C458">
        <f t="shared" si="25"/>
        <v>-54.861111111111114</v>
      </c>
      <c r="D458" s="8">
        <f t="shared" si="26"/>
        <v>-53.039325655387913</v>
      </c>
      <c r="E458" s="8">
        <f t="shared" si="26"/>
        <v>-61.628788961286389</v>
      </c>
      <c r="F458" s="8">
        <f t="shared" si="26"/>
        <v>-153.48639212772443</v>
      </c>
      <c r="G458" s="8">
        <f t="shared" si="26"/>
        <v>-106.97278425544886</v>
      </c>
      <c r="H458" s="8">
        <f t="shared" si="26"/>
        <v>-13.945568510897715</v>
      </c>
    </row>
    <row r="459" spans="1:8" x14ac:dyDescent="0.2">
      <c r="A459" s="11"/>
      <c r="B459" s="11">
        <v>0.441</v>
      </c>
      <c r="C459">
        <f t="shared" si="25"/>
        <v>-54.961832061068719</v>
      </c>
      <c r="D459" s="8">
        <f t="shared" si="26"/>
        <v>-53.320828894263897</v>
      </c>
      <c r="E459" s="8">
        <f t="shared" si="26"/>
        <v>-61.848418032643508</v>
      </c>
      <c r="F459" s="8">
        <f t="shared" si="26"/>
        <v>-153.61537259189481</v>
      </c>
      <c r="G459" s="8">
        <f t="shared" si="26"/>
        <v>-107.23074518378962</v>
      </c>
      <c r="H459" s="8">
        <f t="shared" si="26"/>
        <v>-14.461490367579245</v>
      </c>
    </row>
    <row r="460" spans="1:8" x14ac:dyDescent="0.2">
      <c r="A460" s="11"/>
      <c r="B460" s="11">
        <v>0.442</v>
      </c>
      <c r="C460">
        <f t="shared" si="25"/>
        <v>-55.062413314840484</v>
      </c>
      <c r="D460" s="8">
        <f t="shared" si="26"/>
        <v>-53.601554194159199</v>
      </c>
      <c r="E460" s="8">
        <f t="shared" si="26"/>
        <v>-62.067454979393709</v>
      </c>
      <c r="F460" s="8">
        <f t="shared" si="26"/>
        <v>-153.7439062934356</v>
      </c>
      <c r="G460" s="8">
        <f t="shared" si="26"/>
        <v>-107.4878125868712</v>
      </c>
      <c r="H460" s="8">
        <f t="shared" si="26"/>
        <v>-14.975625173742401</v>
      </c>
    </row>
    <row r="461" spans="1:8" x14ac:dyDescent="0.2">
      <c r="A461" s="11"/>
      <c r="B461" s="11">
        <v>0.443</v>
      </c>
      <c r="C461">
        <f t="shared" si="25"/>
        <v>-55.16285516285518</v>
      </c>
      <c r="D461" s="8">
        <f t="shared" si="26"/>
        <v>-53.88150433016478</v>
      </c>
      <c r="E461" s="8">
        <f t="shared" si="26"/>
        <v>-62.285901935853879</v>
      </c>
      <c r="F461" s="8">
        <f t="shared" si="26"/>
        <v>-153.87199508805713</v>
      </c>
      <c r="G461" s="8">
        <f t="shared" si="26"/>
        <v>-107.74399017611425</v>
      </c>
      <c r="H461" s="8">
        <f t="shared" si="26"/>
        <v>-15.487980352228504</v>
      </c>
    </row>
    <row r="462" spans="1:8" x14ac:dyDescent="0.2">
      <c r="A462" s="11"/>
      <c r="B462" s="11">
        <v>0.44400000000000001</v>
      </c>
      <c r="C462">
        <f t="shared" si="25"/>
        <v>-55.26315789473685</v>
      </c>
      <c r="D462" s="8">
        <f t="shared" si="26"/>
        <v>-54.160682065324686</v>
      </c>
      <c r="E462" s="8">
        <f t="shared" si="26"/>
        <v>-62.50376102690263</v>
      </c>
      <c r="F462" s="8">
        <f t="shared" si="26"/>
        <v>-153.99964082248317</v>
      </c>
      <c r="G462" s="8">
        <f t="shared" si="26"/>
        <v>-107.99928164496633</v>
      </c>
      <c r="H462" s="8">
        <f t="shared" si="26"/>
        <v>-15.998563289932662</v>
      </c>
    </row>
    <row r="463" spans="1:8" x14ac:dyDescent="0.2">
      <c r="A463" s="11"/>
      <c r="B463" s="11">
        <v>0.44500000000000001</v>
      </c>
      <c r="C463">
        <f t="shared" si="25"/>
        <v>-55.363321799307954</v>
      </c>
      <c r="D463" s="8">
        <f t="shared" si="26"/>
        <v>-54.43909015069783</v>
      </c>
      <c r="E463" s="8">
        <f t="shared" si="26"/>
        <v>-62.721034368029713</v>
      </c>
      <c r="F463" s="8">
        <f t="shared" si="26"/>
        <v>-154.12684533450079</v>
      </c>
      <c r="G463" s="8">
        <f t="shared" si="26"/>
        <v>-108.25369066900159</v>
      </c>
      <c r="H463" s="8">
        <f t="shared" si="26"/>
        <v>-16.507381338003171</v>
      </c>
    </row>
    <row r="464" spans="1:8" x14ac:dyDescent="0.2">
      <c r="A464" s="11"/>
      <c r="B464" s="11">
        <v>0.44600000000000001</v>
      </c>
      <c r="C464">
        <f t="shared" si="25"/>
        <v>-55.463347164591966</v>
      </c>
      <c r="D464" s="8">
        <f t="shared" si="26"/>
        <v>-54.716731325418635</v>
      </c>
      <c r="E464" s="8">
        <f t="shared" si="26"/>
        <v>-62.937724065384401</v>
      </c>
      <c r="F464" s="8">
        <f t="shared" si="26"/>
        <v>-154.25361045300963</v>
      </c>
      <c r="G464" s="8">
        <f t="shared" si="26"/>
        <v>-108.50722090601924</v>
      </c>
      <c r="H464" s="8">
        <f t="shared" si="26"/>
        <v>-17.014441812038484</v>
      </c>
    </row>
    <row r="465" spans="1:8" x14ac:dyDescent="0.2">
      <c r="A465" s="11"/>
      <c r="B465" s="11">
        <v>0.44700000000000001</v>
      </c>
      <c r="C465">
        <f t="shared" si="25"/>
        <v>-55.563234277816179</v>
      </c>
      <c r="D465" s="8">
        <f t="shared" si="26"/>
        <v>-54.993608316757971</v>
      </c>
      <c r="E465" s="8">
        <f t="shared" si="26"/>
        <v>-63.153832215824082</v>
      </c>
      <c r="F465" s="8">
        <f t="shared" si="26"/>
        <v>-154.379937998071</v>
      </c>
      <c r="G465" s="8">
        <f t="shared" si="26"/>
        <v>-108.75987599614201</v>
      </c>
      <c r="H465" s="8">
        <f t="shared" si="26"/>
        <v>-17.519751992284029</v>
      </c>
    </row>
    <row r="466" spans="1:8" x14ac:dyDescent="0.2">
      <c r="A466" s="11"/>
      <c r="B466" s="11">
        <v>0.44800000000000001</v>
      </c>
      <c r="C466">
        <f t="shared" si="25"/>
        <v>-55.662983425414353</v>
      </c>
      <c r="D466" s="8">
        <f t="shared" si="26"/>
        <v>-55.269723840183275</v>
      </c>
      <c r="E466" s="8">
        <f t="shared" si="26"/>
        <v>-63.369360906962399</v>
      </c>
      <c r="F466" s="8">
        <f t="shared" si="26"/>
        <v>-154.50582978095673</v>
      </c>
      <c r="G466" s="8">
        <f t="shared" si="26"/>
        <v>-109.01165956191348</v>
      </c>
      <c r="H466" s="8">
        <f t="shared" si="26"/>
        <v>-18.023319123826951</v>
      </c>
    </row>
    <row r="467" spans="1:8" x14ac:dyDescent="0.2">
      <c r="A467" s="11"/>
      <c r="B467" s="11">
        <v>0.44900000000000001</v>
      </c>
      <c r="C467">
        <f t="shared" si="25"/>
        <v>-55.762594893029672</v>
      </c>
      <c r="D467" s="8">
        <f t="shared" si="26"/>
        <v>-55.545080599418618</v>
      </c>
      <c r="E467" s="8">
        <f t="shared" si="26"/>
        <v>-63.584312217217125</v>
      </c>
      <c r="F467" s="8">
        <f t="shared" si="26"/>
        <v>-154.63128760419761</v>
      </c>
      <c r="G467" s="8">
        <f t="shared" si="26"/>
        <v>-109.26257520839525</v>
      </c>
      <c r="H467" s="8">
        <f t="shared" si="26"/>
        <v>-18.525150416790495</v>
      </c>
    </row>
    <row r="468" spans="1:8" x14ac:dyDescent="0.2">
      <c r="A468" s="11"/>
      <c r="B468" s="11">
        <v>0.45</v>
      </c>
      <c r="C468">
        <f t="shared" ref="C468:C531" si="27">$C$5+$C$6/(1+$B468)</f>
        <v>-55.862068965517238</v>
      </c>
      <c r="D468" s="8">
        <f t="shared" si="26"/>
        <v>-55.819681286504235</v>
      </c>
      <c r="E468" s="8">
        <f t="shared" si="26"/>
        <v>-63.798688215857624</v>
      </c>
      <c r="F468" s="8">
        <f t="shared" si="26"/>
        <v>-154.7563132616315</v>
      </c>
      <c r="G468" s="8">
        <f t="shared" si="26"/>
        <v>-109.51262652326302</v>
      </c>
      <c r="H468" s="8">
        <f t="shared" si="26"/>
        <v>-19.025253046526046</v>
      </c>
    </row>
    <row r="469" spans="1:8" x14ac:dyDescent="0.2">
      <c r="A469" s="11"/>
      <c r="B469" s="11">
        <v>0.45100000000000001</v>
      </c>
      <c r="C469">
        <f t="shared" si="27"/>
        <v>-55.961405926946952</v>
      </c>
      <c r="D469" s="8">
        <f t="shared" si="26"/>
        <v>-56.09352858185575</v>
      </c>
      <c r="E469" s="8">
        <f t="shared" si="26"/>
        <v>-64.012490963052272</v>
      </c>
      <c r="F469" s="8">
        <f t="shared" si="26"/>
        <v>-154.88090853845134</v>
      </c>
      <c r="G469" s="8">
        <f t="shared" si="26"/>
        <v>-109.76181707690267</v>
      </c>
      <c r="H469" s="8">
        <f t="shared" si="26"/>
        <v>-19.523634153805347</v>
      </c>
    </row>
    <row r="470" spans="1:8" x14ac:dyDescent="0.2">
      <c r="A470" s="11"/>
      <c r="B470" s="11">
        <v>0.45200000000000001</v>
      </c>
      <c r="C470">
        <f t="shared" si="27"/>
        <v>-56.060606060606062</v>
      </c>
      <c r="D470" s="8">
        <f t="shared" si="26"/>
        <v>-56.36662515432311</v>
      </c>
      <c r="E470" s="8">
        <f t="shared" si="26"/>
        <v>-64.225722509915386</v>
      </c>
      <c r="F470" s="8">
        <f t="shared" si="26"/>
        <v>-155.00507521125257</v>
      </c>
      <c r="G470" s="8">
        <f t="shared" si="26"/>
        <v>-110.01015042250512</v>
      </c>
      <c r="H470" s="8">
        <f t="shared" si="26"/>
        <v>-20.02030084501024</v>
      </c>
    </row>
    <row r="471" spans="1:8" x14ac:dyDescent="0.2">
      <c r="A471" s="11"/>
      <c r="B471" s="11">
        <v>0.45300000000000001</v>
      </c>
      <c r="C471">
        <f t="shared" si="27"/>
        <v>-56.159669649002069</v>
      </c>
      <c r="D471" s="8">
        <f t="shared" si="26"/>
        <v>-56.638973661249352</v>
      </c>
      <c r="E471" s="8">
        <f t="shared" si="26"/>
        <v>-64.438384898554034</v>
      </c>
      <c r="F471" s="8">
        <f t="shared" si="26"/>
        <v>-155.12881504808058</v>
      </c>
      <c r="G471" s="8">
        <f t="shared" si="26"/>
        <v>-110.25763009616115</v>
      </c>
      <c r="H471" s="8">
        <f t="shared" si="26"/>
        <v>-20.515260192322302</v>
      </c>
    </row>
    <row r="472" spans="1:8" x14ac:dyDescent="0.2">
      <c r="A472" s="11"/>
      <c r="B472" s="11">
        <v>0.45400000000000001</v>
      </c>
      <c r="C472">
        <f t="shared" si="27"/>
        <v>-56.258596973865195</v>
      </c>
      <c r="D472" s="8">
        <f t="shared" si="26"/>
        <v>-56.910576748528293</v>
      </c>
      <c r="E472" s="8">
        <f t="shared" si="26"/>
        <v>-64.650480162114349</v>
      </c>
      <c r="F472" s="8">
        <f t="shared" si="26"/>
        <v>-155.25212980847755</v>
      </c>
      <c r="G472" s="8">
        <f t="shared" si="26"/>
        <v>-110.50425961695511</v>
      </c>
      <c r="H472" s="8">
        <f t="shared" si="26"/>
        <v>-21.008519233910221</v>
      </c>
    </row>
    <row r="473" spans="1:8" x14ac:dyDescent="0.2">
      <c r="A473" s="11"/>
      <c r="B473" s="11">
        <v>0.45500000000000002</v>
      </c>
      <c r="C473">
        <f t="shared" si="27"/>
        <v>-56.357388316151201</v>
      </c>
      <c r="D473" s="8">
        <f t="shared" si="26"/>
        <v>-57.181437050663234</v>
      </c>
      <c r="E473" s="8">
        <f t="shared" si="26"/>
        <v>-64.862010324828077</v>
      </c>
      <c r="F473" s="8">
        <f t="shared" si="26"/>
        <v>-155.3750212435294</v>
      </c>
      <c r="G473" s="8">
        <f t="shared" si="26"/>
        <v>-110.75004248705881</v>
      </c>
      <c r="H473" s="8">
        <f t="shared" si="26"/>
        <v>-21.500084974117613</v>
      </c>
    </row>
    <row r="474" spans="1:8" x14ac:dyDescent="0.2">
      <c r="A474" s="11"/>
      <c r="B474" s="11">
        <v>0.45600000000000002</v>
      </c>
      <c r="C474">
        <f t="shared" si="27"/>
        <v>-56.456043956043942</v>
      </c>
      <c r="D474" s="8">
        <f t="shared" si="26"/>
        <v>-57.451557190823621</v>
      </c>
      <c r="E474" s="8">
        <f t="shared" si="26"/>
        <v>-65.072977402057845</v>
      </c>
      <c r="F474" s="8">
        <f t="shared" si="26"/>
        <v>-155.49749109591181</v>
      </c>
      <c r="G474" s="8">
        <f t="shared" si="26"/>
        <v>-110.99498219182364</v>
      </c>
      <c r="H474" s="8">
        <f t="shared" si="26"/>
        <v>-21.989964383647276</v>
      </c>
    </row>
    <row r="475" spans="1:8" x14ac:dyDescent="0.2">
      <c r="A475" s="11"/>
      <c r="B475" s="11">
        <v>0.45700000000000002</v>
      </c>
      <c r="C475">
        <f t="shared" si="27"/>
        <v>-56.554564172958152</v>
      </c>
      <c r="D475" s="8">
        <f t="shared" si="26"/>
        <v>-57.720939780903066</v>
      </c>
      <c r="E475" s="8">
        <f t="shared" si="26"/>
        <v>-65.28338340034361</v>
      </c>
      <c r="F475" s="8">
        <f t="shared" si="26"/>
        <v>-155.61954109993678</v>
      </c>
      <c r="G475" s="8">
        <f t="shared" si="26"/>
        <v>-111.23908219987356</v>
      </c>
      <c r="H475" s="8">
        <f t="shared" si="26"/>
        <v>-22.478164399747129</v>
      </c>
    </row>
    <row r="476" spans="1:8" x14ac:dyDescent="0.2">
      <c r="A476" s="11"/>
      <c r="B476" s="11">
        <v>0.45800000000000002</v>
      </c>
      <c r="C476">
        <f t="shared" si="27"/>
        <v>-56.652949245541834</v>
      </c>
      <c r="D476" s="8">
        <f t="shared" si="26"/>
        <v>-57.989587421575493</v>
      </c>
      <c r="E476" s="8">
        <f t="shared" si="26"/>
        <v>-65.493230317447228</v>
      </c>
      <c r="F476" s="8">
        <f t="shared" si="26"/>
        <v>-155.74117298159811</v>
      </c>
      <c r="G476" s="8">
        <f t="shared" si="26"/>
        <v>-111.48234596319624</v>
      </c>
      <c r="H476" s="8">
        <f t="shared" si="26"/>
        <v>-22.964691926392476</v>
      </c>
    </row>
    <row r="477" spans="1:8" x14ac:dyDescent="0.2">
      <c r="A477" s="11"/>
      <c r="B477" s="11">
        <v>0.45900000000000002</v>
      </c>
      <c r="C477">
        <f t="shared" si="27"/>
        <v>-56.751199451679241</v>
      </c>
      <c r="D477" s="8">
        <f t="shared" si="26"/>
        <v>-58.257502702352546</v>
      </c>
      <c r="E477" s="8">
        <f t="shared" si="26"/>
        <v>-65.702520142398299</v>
      </c>
      <c r="F477" s="8">
        <f t="shared" si="26"/>
        <v>-155.86238845861732</v>
      </c>
      <c r="G477" s="8">
        <f t="shared" si="26"/>
        <v>-111.72477691723464</v>
      </c>
      <c r="H477" s="8">
        <f t="shared" si="26"/>
        <v>-23.44955383446927</v>
      </c>
    </row>
    <row r="478" spans="1:8" x14ac:dyDescent="0.2">
      <c r="A478" s="11"/>
      <c r="B478" s="11">
        <v>0.46</v>
      </c>
      <c r="C478">
        <f t="shared" si="27"/>
        <v>-56.849315068493155</v>
      </c>
      <c r="D478" s="8">
        <f t="shared" si="26"/>
        <v>-58.524688201638938</v>
      </c>
      <c r="E478" s="8">
        <f t="shared" si="26"/>
        <v>-65.911254855538388</v>
      </c>
      <c r="F478" s="8">
        <f t="shared" si="26"/>
        <v>-155.98318924048851</v>
      </c>
      <c r="G478" s="8">
        <f t="shared" si="26"/>
        <v>-111.96637848097701</v>
      </c>
      <c r="H478" s="8">
        <f t="shared" si="26"/>
        <v>-23.932756961954027</v>
      </c>
    </row>
    <row r="479" spans="1:8" x14ac:dyDescent="0.2">
      <c r="A479" s="11"/>
      <c r="B479" s="11">
        <v>0.46100000000000002</v>
      </c>
      <c r="C479">
        <f t="shared" si="27"/>
        <v>-56.947296372347722</v>
      </c>
      <c r="D479" s="8">
        <f t="shared" si="26"/>
        <v>-58.791146486789174</v>
      </c>
      <c r="E479" s="8">
        <f t="shared" si="26"/>
        <v>-66.119436428566146</v>
      </c>
      <c r="F479" s="8">
        <f t="shared" si="26"/>
        <v>-156.10357702852383</v>
      </c>
      <c r="G479" s="8">
        <f t="shared" si="26"/>
        <v>-112.20715405704763</v>
      </c>
      <c r="H479" s="8">
        <f t="shared" si="26"/>
        <v>-24.414308114095263</v>
      </c>
    </row>
    <row r="480" spans="1:8" x14ac:dyDescent="0.2">
      <c r="A480" s="11"/>
      <c r="B480" s="11">
        <v>0.46200000000000002</v>
      </c>
      <c r="C480">
        <f t="shared" si="27"/>
        <v>-57.045143638850874</v>
      </c>
      <c r="D480" s="8">
        <f t="shared" si="26"/>
        <v>-59.056880114162311</v>
      </c>
      <c r="E480" s="8">
        <f t="shared" si="26"/>
        <v>-66.327066824581081</v>
      </c>
      <c r="F480" s="8">
        <f t="shared" si="26"/>
        <v>-156.22355351589772</v>
      </c>
      <c r="G480" s="8">
        <f t="shared" si="26"/>
        <v>-112.44710703179547</v>
      </c>
      <c r="H480" s="8">
        <f t="shared" si="26"/>
        <v>-24.894214063590937</v>
      </c>
    </row>
    <row r="481" spans="1:8" x14ac:dyDescent="0.2">
      <c r="A481" s="11"/>
      <c r="B481" s="11">
        <v>0.46300000000000002</v>
      </c>
      <c r="C481">
        <f t="shared" si="27"/>
        <v>-57.142857142857139</v>
      </c>
      <c r="D481" s="8">
        <f t="shared" si="26"/>
        <v>-59.321891629178147</v>
      </c>
      <c r="E481" s="8">
        <f t="shared" si="26"/>
        <v>-66.534147998128134</v>
      </c>
      <c r="F481" s="8">
        <f t="shared" si="26"/>
        <v>-156.3431203876919</v>
      </c>
      <c r="G481" s="8">
        <f t="shared" si="26"/>
        <v>-112.68624077538377</v>
      </c>
      <c r="H481" s="8">
        <f t="shared" si="26"/>
        <v>-25.372481550767532</v>
      </c>
    </row>
    <row r="482" spans="1:8" x14ac:dyDescent="0.2">
      <c r="A482" s="11"/>
      <c r="B482" s="11">
        <v>0.46400000000000002</v>
      </c>
      <c r="C482">
        <f t="shared" si="27"/>
        <v>-57.240437158469945</v>
      </c>
      <c r="D482" s="8">
        <f t="shared" si="26"/>
        <v>-59.586183566371297</v>
      </c>
      <c r="E482" s="8">
        <f t="shared" si="26"/>
        <v>-66.740681895241039</v>
      </c>
      <c r="F482" s="8">
        <f t="shared" si="26"/>
        <v>-156.46227932093893</v>
      </c>
      <c r="G482" s="8">
        <f t="shared" si="26"/>
        <v>-112.92455864187789</v>
      </c>
      <c r="H482" s="8">
        <f t="shared" si="26"/>
        <v>-25.849117283755788</v>
      </c>
    </row>
    <row r="483" spans="1:8" x14ac:dyDescent="0.2">
      <c r="A483" s="11"/>
      <c r="B483" s="11">
        <v>0.46500000000000002</v>
      </c>
      <c r="C483">
        <f t="shared" si="27"/>
        <v>-57.337883959044376</v>
      </c>
      <c r="D483" s="8">
        <f t="shared" si="26"/>
        <v>-59.849758449446554</v>
      </c>
      <c r="E483" s="8">
        <f t="shared" si="26"/>
        <v>-66.946670453486362</v>
      </c>
      <c r="F483" s="8">
        <f t="shared" si="26"/>
        <v>-156.58103198466679</v>
      </c>
      <c r="G483" s="8">
        <f t="shared" si="26"/>
        <v>-113.16206396933357</v>
      </c>
      <c r="H483" s="8">
        <f t="shared" si="26"/>
        <v>-26.324127938667147</v>
      </c>
    </row>
    <row r="484" spans="1:8" x14ac:dyDescent="0.2">
      <c r="A484" s="11"/>
      <c r="B484" s="11">
        <v>0.46600000000000003</v>
      </c>
      <c r="C484">
        <f t="shared" si="27"/>
        <v>-57.435197817189618</v>
      </c>
      <c r="D484" s="8">
        <f t="shared" si="26"/>
        <v>-60.112618791332636</v>
      </c>
      <c r="E484" s="8">
        <f t="shared" si="26"/>
        <v>-67.152115602006134</v>
      </c>
      <c r="F484" s="8">
        <f t="shared" si="26"/>
        <v>-156.6993800399419</v>
      </c>
      <c r="G484" s="8">
        <f t="shared" si="26"/>
        <v>-113.39876007988379</v>
      </c>
      <c r="H484" s="8">
        <f t="shared" si="26"/>
        <v>-26.797520159767572</v>
      </c>
    </row>
    <row r="485" spans="1:8" x14ac:dyDescent="0.2">
      <c r="A485" s="11"/>
      <c r="B485" s="11">
        <v>0.46700000000000003</v>
      </c>
      <c r="C485">
        <f t="shared" si="27"/>
        <v>-57.532379004771656</v>
      </c>
      <c r="D485" s="8">
        <f t="shared" si="26"/>
        <v>-60.374767094236589</v>
      </c>
      <c r="E485" s="8">
        <f t="shared" si="26"/>
        <v>-67.357019261561589</v>
      </c>
      <c r="F485" s="8">
        <f t="shared" si="26"/>
        <v>-156.8173251399129</v>
      </c>
      <c r="G485" s="8">
        <f t="shared" si="26"/>
        <v>-113.63465027982581</v>
      </c>
      <c r="H485" s="8">
        <f t="shared" si="26"/>
        <v>-27.269300559651612</v>
      </c>
    </row>
    <row r="486" spans="1:8" x14ac:dyDescent="0.2">
      <c r="A486" s="11"/>
      <c r="B486" s="11">
        <v>0.46800000000000003</v>
      </c>
      <c r="C486">
        <f t="shared" si="27"/>
        <v>-57.629427792915521</v>
      </c>
      <c r="D486" s="8">
        <f t="shared" si="26"/>
        <v>-60.636205849697284</v>
      </c>
      <c r="E486" s="8">
        <f t="shared" si="26"/>
        <v>-67.561383344575347</v>
      </c>
      <c r="F486" s="8">
        <f t="shared" si="26"/>
        <v>-156.93486892985362</v>
      </c>
      <c r="G486" s="8">
        <f t="shared" si="26"/>
        <v>-113.86973785970721</v>
      </c>
      <c r="H486" s="8">
        <f t="shared" si="26"/>
        <v>-27.739475719414429</v>
      </c>
    </row>
    <row r="487" spans="1:8" x14ac:dyDescent="0.2">
      <c r="A487" s="11"/>
      <c r="B487" s="11">
        <v>0.46899999999999997</v>
      </c>
      <c r="C487">
        <f t="shared" si="27"/>
        <v>-57.726344452008163</v>
      </c>
      <c r="D487" s="8">
        <f t="shared" si="26"/>
        <v>-60.896937538638895</v>
      </c>
      <c r="E487" s="8">
        <f t="shared" si="26"/>
        <v>-67.765209755174382</v>
      </c>
      <c r="F487" s="8">
        <f t="shared" si="26"/>
        <v>-157.05201304720586</v>
      </c>
      <c r="G487" s="8">
        <f t="shared" si="26"/>
        <v>-114.10402609441172</v>
      </c>
      <c r="H487" s="8">
        <f t="shared" si="26"/>
        <v>-28.208052188823444</v>
      </c>
    </row>
    <row r="488" spans="1:8" x14ac:dyDescent="0.2">
      <c r="A488" s="11"/>
      <c r="B488" s="11">
        <v>0.47</v>
      </c>
      <c r="C488">
        <f t="shared" si="27"/>
        <v>-57.823129251700664</v>
      </c>
      <c r="D488" s="8">
        <f t="shared" si="26"/>
        <v>-61.156964631423946</v>
      </c>
      <c r="E488" s="8">
        <f t="shared" si="26"/>
        <v>-67.968500389232105</v>
      </c>
      <c r="F488" s="8">
        <f t="shared" si="26"/>
        <v>-157.16875912162214</v>
      </c>
      <c r="G488" s="8">
        <f t="shared" si="26"/>
        <v>-114.33751824324426</v>
      </c>
      <c r="H488" s="8">
        <f t="shared" si="26"/>
        <v>-28.675036486488523</v>
      </c>
    </row>
    <row r="489" spans="1:8" x14ac:dyDescent="0.2">
      <c r="A489" s="11"/>
      <c r="B489" s="11">
        <v>0.47099999999999997</v>
      </c>
      <c r="C489">
        <f t="shared" si="27"/>
        <v>-57.919782460910966</v>
      </c>
      <c r="D489" s="8">
        <f t="shared" si="26"/>
        <v>-61.416289587906121</v>
      </c>
      <c r="E489" s="8">
        <f t="shared" si="26"/>
        <v>-68.171257134410411</v>
      </c>
      <c r="F489" s="8">
        <f t="shared" si="26"/>
        <v>-157.28510877500781</v>
      </c>
      <c r="G489" s="8">
        <f t="shared" si="26"/>
        <v>-114.5702175500156</v>
      </c>
      <c r="H489" s="8">
        <f t="shared" si="26"/>
        <v>-29.140435100031198</v>
      </c>
    </row>
    <row r="490" spans="1:8" x14ac:dyDescent="0.2">
      <c r="A490" s="11"/>
      <c r="B490" s="11">
        <v>0.47199999999999998</v>
      </c>
      <c r="C490">
        <f t="shared" si="27"/>
        <v>-58.016304347826093</v>
      </c>
      <c r="D490" s="8">
        <f t="shared" si="26"/>
        <v>-61.674914857482669</v>
      </c>
      <c r="E490" s="8">
        <f t="shared" si="26"/>
        <v>-68.373481870201488</v>
      </c>
      <c r="F490" s="8">
        <f t="shared" si="26"/>
        <v>-157.40106362156322</v>
      </c>
      <c r="G490" s="8">
        <f t="shared" si="26"/>
        <v>-114.80212724312645</v>
      </c>
      <c r="H490" s="8">
        <f t="shared" si="26"/>
        <v>-29.604254486252898</v>
      </c>
    </row>
    <row r="491" spans="1:8" x14ac:dyDescent="0.2">
      <c r="A491" s="11"/>
      <c r="B491" s="11">
        <v>0.47299999999999998</v>
      </c>
      <c r="C491">
        <f t="shared" si="27"/>
        <v>-58.112695179904932</v>
      </c>
      <c r="D491" s="8">
        <f t="shared" ref="D491:H541" si="28">$D$5+(D$6/(1+$B491))+(D$7/(1+$B491)^2)+(D$8/(1+$B491)^3)+(D$9/(1+$B491)^4)</f>
        <v>-61.932842879146712</v>
      </c>
      <c r="E491" s="8">
        <f t="shared" si="28"/>
        <v>-68.57517646796947</v>
      </c>
      <c r="F491" s="8">
        <f t="shared" si="28"/>
        <v>-157.51662526782559</v>
      </c>
      <c r="G491" s="8">
        <f t="shared" si="28"/>
        <v>-115.03325053565121</v>
      </c>
      <c r="H491" s="8">
        <f t="shared" si="28"/>
        <v>-30.066501071302412</v>
      </c>
    </row>
    <row r="492" spans="1:8" x14ac:dyDescent="0.2">
      <c r="A492" s="11"/>
      <c r="B492" s="11">
        <v>0.47399999999999998</v>
      </c>
      <c r="C492">
        <f t="shared" si="27"/>
        <v>-58.208955223880594</v>
      </c>
      <c r="D492" s="8">
        <f t="shared" si="28"/>
        <v>-62.19007608153899</v>
      </c>
      <c r="E492" s="8">
        <f t="shared" si="28"/>
        <v>-68.776342790991563</v>
      </c>
      <c r="F492" s="8">
        <f t="shared" si="28"/>
        <v>-157.63179531271049</v>
      </c>
      <c r="G492" s="8">
        <f t="shared" si="28"/>
        <v>-115.26359062542096</v>
      </c>
      <c r="H492" s="8">
        <f t="shared" si="28"/>
        <v>-30.52718125084192</v>
      </c>
    </row>
    <row r="493" spans="1:8" x14ac:dyDescent="0.2">
      <c r="A493" s="11"/>
      <c r="B493" s="11">
        <v>0.47499999999999998</v>
      </c>
      <c r="C493">
        <f t="shared" si="27"/>
        <v>-58.305084745762713</v>
      </c>
      <c r="D493" s="8">
        <f t="shared" si="28"/>
        <v>-62.446616882999542</v>
      </c>
      <c r="E493" s="8">
        <f t="shared" si="28"/>
        <v>-68.976982694499242</v>
      </c>
      <c r="F493" s="8">
        <f t="shared" si="28"/>
        <v>-157.74657534755301</v>
      </c>
      <c r="G493" s="8">
        <f t="shared" si="28"/>
        <v>-115.49315069510598</v>
      </c>
      <c r="H493" s="8">
        <f t="shared" si="28"/>
        <v>-30.986301390211963</v>
      </c>
    </row>
    <row r="494" spans="1:8" x14ac:dyDescent="0.2">
      <c r="A494" s="11"/>
      <c r="B494" s="11">
        <v>0.47599999999999998</v>
      </c>
      <c r="C494">
        <f t="shared" si="27"/>
        <v>-58.401084010840094</v>
      </c>
      <c r="D494" s="8">
        <f t="shared" si="28"/>
        <v>-62.702467691618914</v>
      </c>
      <c r="E494" s="8">
        <f t="shared" si="28"/>
        <v>-69.177098025719062</v>
      </c>
      <c r="F494" s="8">
        <f t="shared" si="28"/>
        <v>-157.86096695614901</v>
      </c>
      <c r="G494" s="8">
        <f t="shared" si="28"/>
        <v>-115.721933912298</v>
      </c>
      <c r="H494" s="8">
        <f t="shared" si="28"/>
        <v>-31.443867824595998</v>
      </c>
    </row>
    <row r="495" spans="1:8" x14ac:dyDescent="0.2">
      <c r="A495" s="11"/>
      <c r="B495" s="11">
        <v>0.47699999999999998</v>
      </c>
      <c r="C495">
        <f t="shared" si="27"/>
        <v>-58.496953283683126</v>
      </c>
      <c r="D495" s="8">
        <f t="shared" si="28"/>
        <v>-62.957630905289314</v>
      </c>
      <c r="E495" s="8">
        <f t="shared" si="28"/>
        <v>-69.376690623913248</v>
      </c>
      <c r="F495" s="8">
        <f t="shared" si="28"/>
        <v>-157.97497171479586</v>
      </c>
      <c r="G495" s="8">
        <f t="shared" si="28"/>
        <v>-115.94994342959168</v>
      </c>
      <c r="H495" s="8">
        <f t="shared" si="28"/>
        <v>-31.899886859183368</v>
      </c>
    </row>
    <row r="496" spans="1:8" x14ac:dyDescent="0.2">
      <c r="A496" s="11"/>
      <c r="B496" s="11">
        <v>0.47799999999999998</v>
      </c>
      <c r="C496">
        <f t="shared" si="27"/>
        <v>-58.592692828146141</v>
      </c>
      <c r="D496" s="8">
        <f t="shared" si="28"/>
        <v>-63.212108911755095</v>
      </c>
      <c r="E496" s="8">
        <f t="shared" si="28"/>
        <v>-69.575762320420026</v>
      </c>
      <c r="F496" s="8">
        <f t="shared" si="28"/>
        <v>-158.0885911923329</v>
      </c>
      <c r="G496" s="8">
        <f t="shared" si="28"/>
        <v>-116.17718238466577</v>
      </c>
      <c r="H496" s="8">
        <f t="shared" si="28"/>
        <v>-32.354364769331539</v>
      </c>
    </row>
    <row r="497" spans="1:8" x14ac:dyDescent="0.2">
      <c r="A497" s="11"/>
      <c r="B497" s="11">
        <v>0.47899999999999998</v>
      </c>
      <c r="C497">
        <f t="shared" si="27"/>
        <v>-58.688302907369859</v>
      </c>
      <c r="D497" s="8">
        <f t="shared" si="28"/>
        <v>-63.465904088663372</v>
      </c>
      <c r="E497" s="8">
        <f t="shared" si="28"/>
        <v>-69.774314938693834</v>
      </c>
      <c r="F497" s="8">
        <f t="shared" si="28"/>
        <v>-158.20182695018184</v>
      </c>
      <c r="G497" s="8">
        <f t="shared" si="28"/>
        <v>-116.40365390036365</v>
      </c>
      <c r="H497" s="8">
        <f t="shared" si="28"/>
        <v>-32.807307800727301</v>
      </c>
    </row>
    <row r="498" spans="1:8" x14ac:dyDescent="0.2">
      <c r="A498" s="11"/>
      <c r="B498" s="11">
        <v>0.48</v>
      </c>
      <c r="C498">
        <f t="shared" si="27"/>
        <v>-58.783783783783775</v>
      </c>
      <c r="D498" s="8">
        <f t="shared" si="28"/>
        <v>-63.719018803613963</v>
      </c>
      <c r="E498" s="8">
        <f t="shared" si="28"/>
        <v>-69.972350294345034</v>
      </c>
      <c r="F498" s="8">
        <f t="shared" si="28"/>
        <v>-158.3146805423867</v>
      </c>
      <c r="G498" s="8">
        <f t="shared" si="28"/>
        <v>-116.62936108477339</v>
      </c>
      <c r="H498" s="8">
        <f t="shared" si="28"/>
        <v>-33.258722169546786</v>
      </c>
    </row>
    <row r="499" spans="1:8" x14ac:dyDescent="0.2">
      <c r="A499" s="11"/>
      <c r="B499" s="11">
        <v>0.48099999999999998</v>
      </c>
      <c r="C499">
        <f t="shared" si="27"/>
        <v>-58.879135719108689</v>
      </c>
      <c r="D499" s="8">
        <f t="shared" si="28"/>
        <v>-63.971455414209487</v>
      </c>
      <c r="E499" s="8">
        <f t="shared" si="28"/>
        <v>-70.169870195179769</v>
      </c>
      <c r="F499" s="8">
        <f t="shared" si="28"/>
        <v>-158.42715351565377</v>
      </c>
      <c r="G499" s="8">
        <f t="shared" si="28"/>
        <v>-116.85430703130756</v>
      </c>
      <c r="H499" s="8">
        <f t="shared" si="28"/>
        <v>-33.708614062615112</v>
      </c>
    </row>
    <row r="500" spans="1:8" x14ac:dyDescent="0.2">
      <c r="A500" s="11"/>
      <c r="B500" s="11">
        <v>0.48199999999999998</v>
      </c>
      <c r="C500">
        <f t="shared" si="27"/>
        <v>-58.974358974358978</v>
      </c>
      <c r="D500" s="8">
        <f t="shared" si="28"/>
        <v>-64.223216268104721</v>
      </c>
      <c r="E500" s="8">
        <f t="shared" si="28"/>
        <v>-70.366876441239384</v>
      </c>
      <c r="F500" s="8">
        <f t="shared" si="28"/>
        <v>-158.53924740939115</v>
      </c>
      <c r="G500" s="8">
        <f t="shared" si="28"/>
        <v>-117.0784948187823</v>
      </c>
      <c r="H500" s="8">
        <f t="shared" si="28"/>
        <v>-34.156989637564607</v>
      </c>
    </row>
    <row r="501" spans="1:8" x14ac:dyDescent="0.2">
      <c r="A501" s="11"/>
      <c r="B501" s="11">
        <v>0.48299999999999998</v>
      </c>
      <c r="C501">
        <f t="shared" si="27"/>
        <v>-59.06945380984493</v>
      </c>
      <c r="D501" s="8">
        <f t="shared" si="28"/>
        <v>-64.474303703055853</v>
      </c>
      <c r="E501" s="8">
        <f t="shared" si="28"/>
        <v>-70.56337082483941</v>
      </c>
      <c r="F501" s="8">
        <f t="shared" si="28"/>
        <v>-158.65096375574785</v>
      </c>
      <c r="G501" s="8">
        <f t="shared" si="28"/>
        <v>-117.30192751149573</v>
      </c>
      <c r="H501" s="8">
        <f t="shared" si="28"/>
        <v>-34.603855022991468</v>
      </c>
    </row>
    <row r="502" spans="1:8" x14ac:dyDescent="0.2">
      <c r="A502" s="11"/>
      <c r="B502" s="11">
        <v>0.48399999999999999</v>
      </c>
      <c r="C502">
        <f t="shared" si="27"/>
        <v>-59.164420485175214</v>
      </c>
      <c r="D502" s="8">
        <f t="shared" si="28"/>
        <v>-64.724720046969608</v>
      </c>
      <c r="E502" s="8">
        <f t="shared" si="28"/>
        <v>-70.759355130608725</v>
      </c>
      <c r="F502" s="8">
        <f t="shared" si="28"/>
        <v>-158.76230407965323</v>
      </c>
      <c r="G502" s="8">
        <f t="shared" si="28"/>
        <v>-117.52460815930647</v>
      </c>
      <c r="H502" s="8">
        <f t="shared" si="28"/>
        <v>-35.049216318612935</v>
      </c>
    </row>
    <row r="503" spans="1:8" x14ac:dyDescent="0.2">
      <c r="A503" s="11"/>
      <c r="B503" s="11">
        <v>0.48499999999999999</v>
      </c>
      <c r="C503">
        <f t="shared" si="27"/>
        <v>-59.259259259259238</v>
      </c>
      <c r="D503" s="8">
        <f t="shared" si="28"/>
        <v>-64.974467617952072</v>
      </c>
      <c r="E503" s="8">
        <f t="shared" si="28"/>
        <v>-70.954831135528366</v>
      </c>
      <c r="F503" s="8">
        <f t="shared" si="28"/>
        <v>-158.87326989885563</v>
      </c>
      <c r="G503" s="8">
        <f t="shared" si="28"/>
        <v>-117.74653979771124</v>
      </c>
      <c r="H503" s="8">
        <f t="shared" si="28"/>
        <v>-35.493079595422472</v>
      </c>
    </row>
    <row r="504" spans="1:8" x14ac:dyDescent="0.2">
      <c r="A504" s="11"/>
      <c r="B504" s="11">
        <v>0.48599999999999999</v>
      </c>
      <c r="C504">
        <f t="shared" si="27"/>
        <v>-59.353970390309541</v>
      </c>
      <c r="D504" s="8">
        <f t="shared" si="28"/>
        <v>-65.223548724356974</v>
      </c>
      <c r="E504" s="8">
        <f t="shared" si="28"/>
        <v>-71.149800608969983</v>
      </c>
      <c r="F504" s="8">
        <f t="shared" si="28"/>
        <v>-158.98386272396107</v>
      </c>
      <c r="G504" s="8">
        <f t="shared" si="28"/>
        <v>-117.96772544792211</v>
      </c>
      <c r="H504" s="8">
        <f t="shared" si="28"/>
        <v>-35.935450895844212</v>
      </c>
    </row>
    <row r="505" spans="1:8" x14ac:dyDescent="0.2">
      <c r="A505" s="11"/>
      <c r="B505" s="11">
        <v>0.48699999999999999</v>
      </c>
      <c r="C505">
        <f t="shared" si="27"/>
        <v>-59.448554135843978</v>
      </c>
      <c r="D505" s="8">
        <f t="shared" si="28"/>
        <v>-65.471965664833718</v>
      </c>
      <c r="E505" s="8">
        <f t="shared" si="28"/>
        <v>-71.344265312733967</v>
      </c>
      <c r="F505" s="8">
        <f t="shared" si="28"/>
        <v>-159.09408405847157</v>
      </c>
      <c r="G505" s="8">
        <f t="shared" si="28"/>
        <v>-118.18816811694315</v>
      </c>
      <c r="H505" s="8">
        <f t="shared" si="28"/>
        <v>-36.376336233886292</v>
      </c>
    </row>
    <row r="506" spans="1:8" x14ac:dyDescent="0.2">
      <c r="A506" s="11"/>
      <c r="B506" s="11">
        <v>0.48799999999999999</v>
      </c>
      <c r="C506">
        <f t="shared" si="27"/>
        <v>-59.543010752688161</v>
      </c>
      <c r="D506" s="8">
        <f t="shared" si="28"/>
        <v>-65.719720728375563</v>
      </c>
      <c r="E506" s="8">
        <f t="shared" si="28"/>
        <v>-71.538227001087776</v>
      </c>
      <c r="F506" s="8">
        <f t="shared" si="28"/>
        <v>-159.2039353988234</v>
      </c>
      <c r="G506" s="8">
        <f t="shared" si="28"/>
        <v>-118.40787079764682</v>
      </c>
      <c r="H506" s="8">
        <f t="shared" si="28"/>
        <v>-36.815741595293645</v>
      </c>
    </row>
    <row r="507" spans="1:8" x14ac:dyDescent="0.2">
      <c r="A507" s="11"/>
      <c r="B507" s="11">
        <v>0.48899999999999999</v>
      </c>
      <c r="C507">
        <f t="shared" si="27"/>
        <v>-59.637340496977828</v>
      </c>
      <c r="D507" s="8">
        <f t="shared" si="28"/>
        <v>-65.966816194367198</v>
      </c>
      <c r="E507" s="8">
        <f t="shared" si="28"/>
        <v>-71.731687420803851</v>
      </c>
      <c r="F507" s="8">
        <f t="shared" si="28"/>
        <v>-159.31341823442497</v>
      </c>
      <c r="G507" s="8">
        <f t="shared" si="28"/>
        <v>-118.62683646884993</v>
      </c>
      <c r="H507" s="8">
        <f t="shared" si="28"/>
        <v>-37.253672937699861</v>
      </c>
    </row>
    <row r="508" spans="1:8" x14ac:dyDescent="0.2">
      <c r="A508" s="11"/>
      <c r="B508" s="11">
        <v>0.49</v>
      </c>
      <c r="C508">
        <f t="shared" si="27"/>
        <v>-59.731543624161077</v>
      </c>
      <c r="D508" s="8">
        <f t="shared" si="28"/>
        <v>-66.213254332632047</v>
      </c>
      <c r="E508" s="8">
        <f t="shared" si="28"/>
        <v>-71.924648311197004</v>
      </c>
      <c r="F508" s="8">
        <f t="shared" si="28"/>
        <v>-159.42253404769448</v>
      </c>
      <c r="G508" s="8">
        <f t="shared" si="28"/>
        <v>-118.84506809538895</v>
      </c>
      <c r="H508" s="8">
        <f t="shared" si="28"/>
        <v>-37.690136190777906</v>
      </c>
    </row>
    <row r="509" spans="1:8" x14ac:dyDescent="0.2">
      <c r="A509" s="11"/>
      <c r="B509" s="11">
        <v>0.49099999999999999</v>
      </c>
      <c r="C509">
        <f t="shared" si="27"/>
        <v>-59.825620389000676</v>
      </c>
      <c r="D509" s="8">
        <f t="shared" si="28"/>
        <v>-66.459037403479329</v>
      </c>
      <c r="E509" s="8">
        <f t="shared" si="28"/>
        <v>-72.117111404162031</v>
      </c>
      <c r="F509" s="8">
        <f t="shared" si="28"/>
        <v>-159.53128431409743</v>
      </c>
      <c r="G509" s="8">
        <f t="shared" si="28"/>
        <v>-119.06256862819488</v>
      </c>
      <c r="H509" s="8">
        <f t="shared" si="28"/>
        <v>-38.125137256389763</v>
      </c>
    </row>
    <row r="510" spans="1:8" x14ac:dyDescent="0.2">
      <c r="A510" s="11"/>
      <c r="B510" s="11">
        <v>0.49199999999999999</v>
      </c>
      <c r="C510">
        <f t="shared" si="27"/>
        <v>-59.919571045576419</v>
      </c>
      <c r="D510" s="8">
        <f t="shared" si="28"/>
        <v>-66.704167657750816</v>
      </c>
      <c r="E510" s="8">
        <f t="shared" si="28"/>
        <v>-72.309078424210782</v>
      </c>
      <c r="F510" s="8">
        <f t="shared" si="28"/>
        <v>-159.63967050218383</v>
      </c>
      <c r="G510" s="8">
        <f t="shared" si="28"/>
        <v>-119.27934100436767</v>
      </c>
      <c r="H510" s="8">
        <f t="shared" si="28"/>
        <v>-38.558682008735332</v>
      </c>
    </row>
    <row r="511" spans="1:8" x14ac:dyDescent="0.2">
      <c r="A511" s="11"/>
      <c r="B511" s="11">
        <v>0.49299999999999999</v>
      </c>
      <c r="C511">
        <f t="shared" si="27"/>
        <v>-60.013395847287342</v>
      </c>
      <c r="D511" s="8">
        <f t="shared" si="28"/>
        <v>-66.948647336867779</v>
      </c>
      <c r="E511" s="8">
        <f t="shared" si="28"/>
        <v>-72.500551088509496</v>
      </c>
      <c r="F511" s="8">
        <f t="shared" si="28"/>
        <v>-159.7476940736253</v>
      </c>
      <c r="G511" s="8">
        <f t="shared" si="28"/>
        <v>-119.49538814725058</v>
      </c>
      <c r="H511" s="8">
        <f t="shared" si="28"/>
        <v>-38.99077629450116</v>
      </c>
    </row>
    <row r="512" spans="1:8" x14ac:dyDescent="0.2">
      <c r="A512" s="11"/>
      <c r="B512" s="11">
        <v>0.49399999999999999</v>
      </c>
      <c r="C512">
        <f t="shared" si="27"/>
        <v>-60.107095046854084</v>
      </c>
      <c r="D512" s="8">
        <f t="shared" si="28"/>
        <v>-67.192478672876803</v>
      </c>
      <c r="E512" s="8">
        <f t="shared" si="28"/>
        <v>-72.691531106915221</v>
      </c>
      <c r="F512" s="8">
        <f t="shared" si="28"/>
        <v>-159.85535648325174</v>
      </c>
      <c r="G512" s="8">
        <f t="shared" si="28"/>
        <v>-119.71071296650351</v>
      </c>
      <c r="H512" s="8">
        <f t="shared" si="28"/>
        <v>-39.421425933007015</v>
      </c>
    </row>
    <row r="513" spans="1:8" x14ac:dyDescent="0.2">
      <c r="A513" s="11"/>
      <c r="B513" s="11">
        <v>0.495</v>
      </c>
      <c r="C513">
        <f t="shared" si="27"/>
        <v>-60.200668896321076</v>
      </c>
      <c r="D513" s="8">
        <f t="shared" si="28"/>
        <v>-67.435663888496151</v>
      </c>
      <c r="E513" s="8">
        <f t="shared" si="28"/>
        <v>-72.882020182012525</v>
      </c>
      <c r="F513" s="8">
        <f t="shared" si="28"/>
        <v>-159.96265917908806</v>
      </c>
      <c r="G513" s="8">
        <f t="shared" si="28"/>
        <v>-119.92531835817611</v>
      </c>
      <c r="H513" s="8">
        <f t="shared" si="28"/>
        <v>-39.850636716352227</v>
      </c>
    </row>
    <row r="514" spans="1:8" x14ac:dyDescent="0.2">
      <c r="A514" s="11"/>
      <c r="B514" s="11">
        <v>0.496</v>
      </c>
      <c r="C514">
        <f t="shared" si="27"/>
        <v>-60.294117647058812</v>
      </c>
      <c r="D514" s="8">
        <f t="shared" si="28"/>
        <v>-67.678205197161333</v>
      </c>
      <c r="E514" s="8">
        <f t="shared" si="28"/>
        <v>-73.072020009149909</v>
      </c>
      <c r="F514" s="8">
        <f t="shared" si="28"/>
        <v>-160.06960360239032</v>
      </c>
      <c r="G514" s="8">
        <f t="shared" si="28"/>
        <v>-120.1392072047806</v>
      </c>
      <c r="H514" s="8">
        <f t="shared" si="28"/>
        <v>-40.278414409561208</v>
      </c>
    </row>
    <row r="515" spans="1:8" x14ac:dyDescent="0.2">
      <c r="A515" s="11"/>
      <c r="B515" s="11">
        <v>0.497</v>
      </c>
      <c r="C515">
        <f t="shared" si="27"/>
        <v>-60.38744154976618</v>
      </c>
      <c r="D515" s="8">
        <f t="shared" si="28"/>
        <v>-67.920104803070814</v>
      </c>
      <c r="E515" s="8">
        <f t="shared" si="28"/>
        <v>-73.261532276475947</v>
      </c>
      <c r="F515" s="8">
        <f t="shared" si="28"/>
        <v>-160.17619118768206</v>
      </c>
      <c r="G515" s="8">
        <f t="shared" si="28"/>
        <v>-120.35238237536413</v>
      </c>
      <c r="H515" s="8">
        <f t="shared" si="28"/>
        <v>-40.704764750728259</v>
      </c>
    </row>
    <row r="516" spans="1:8" x14ac:dyDescent="0.2">
      <c r="A516" s="11"/>
      <c r="B516" s="11">
        <v>0.498</v>
      </c>
      <c r="C516">
        <f t="shared" si="27"/>
        <v>-60.480640854472625</v>
      </c>
      <c r="D516" s="8">
        <f t="shared" si="28"/>
        <v>-68.161364901231323</v>
      </c>
      <c r="E516" s="8">
        <f t="shared" si="28"/>
        <v>-73.450558664975432</v>
      </c>
      <c r="F516" s="8">
        <f t="shared" si="28"/>
        <v>-160.28242336279021</v>
      </c>
      <c r="G516" s="8">
        <f t="shared" si="28"/>
        <v>-120.56484672558045</v>
      </c>
      <c r="H516" s="8">
        <f t="shared" si="28"/>
        <v>-41.129693451160904</v>
      </c>
    </row>
    <row r="517" spans="1:8" x14ac:dyDescent="0.2">
      <c r="A517" s="11"/>
      <c r="B517" s="11">
        <v>0.499</v>
      </c>
      <c r="C517">
        <f t="shared" si="27"/>
        <v>-60.573715810540364</v>
      </c>
      <c r="D517" s="8">
        <f t="shared" si="28"/>
        <v>-68.40198767750249</v>
      </c>
      <c r="E517" s="8">
        <f t="shared" si="28"/>
        <v>-73.639100848504583</v>
      </c>
      <c r="F517" s="8">
        <f t="shared" si="28"/>
        <v>-160.38830154888069</v>
      </c>
      <c r="G517" s="8">
        <f t="shared" si="28"/>
        <v>-120.77660309776138</v>
      </c>
      <c r="H517" s="8">
        <f t="shared" si="28"/>
        <v>-41.553206195522762</v>
      </c>
    </row>
    <row r="518" spans="1:8" x14ac:dyDescent="0.2">
      <c r="A518" s="11"/>
      <c r="B518" s="11">
        <v>0.5</v>
      </c>
      <c r="C518">
        <f t="shared" si="27"/>
        <v>-60.666666666666657</v>
      </c>
      <c r="D518" s="8">
        <f t="shared" si="28"/>
        <v>-68.641975308641975</v>
      </c>
      <c r="E518" s="8">
        <f t="shared" si="28"/>
        <v>-73.827160493827179</v>
      </c>
      <c r="F518" s="8">
        <f t="shared" si="28"/>
        <v>-160.49382716049382</v>
      </c>
      <c r="G518" s="8">
        <f t="shared" si="28"/>
        <v>-120.98765432098766</v>
      </c>
      <c r="H518" s="8">
        <f t="shared" si="28"/>
        <v>-41.975308641975317</v>
      </c>
    </row>
    <row r="519" spans="1:8" x14ac:dyDescent="0.2">
      <c r="A519" s="11"/>
      <c r="B519" s="11">
        <v>0.501</v>
      </c>
      <c r="C519">
        <f t="shared" si="27"/>
        <v>-60.759493670886059</v>
      </c>
      <c r="D519" s="8">
        <f t="shared" si="28"/>
        <v>-68.88132996234998</v>
      </c>
      <c r="E519" s="8">
        <f t="shared" si="28"/>
        <v>-74.014739260649606</v>
      </c>
      <c r="F519" s="8">
        <f t="shared" si="28"/>
        <v>-160.59900160557993</v>
      </c>
      <c r="G519" s="8">
        <f t="shared" si="28"/>
        <v>-121.19800321115984</v>
      </c>
      <c r="H519" s="8">
        <f t="shared" si="28"/>
        <v>-42.396006422319687</v>
      </c>
    </row>
    <row r="520" spans="1:8" x14ac:dyDescent="0.2">
      <c r="A520" s="11"/>
      <c r="B520" s="11">
        <v>0.502</v>
      </c>
      <c r="C520">
        <f t="shared" si="27"/>
        <v>-60.852197070572572</v>
      </c>
      <c r="D520" s="8">
        <f t="shared" si="28"/>
        <v>-69.120053797313375</v>
      </c>
      <c r="E520" s="8">
        <f t="shared" si="28"/>
        <v>-74.201838801656194</v>
      </c>
      <c r="F520" s="8">
        <f t="shared" si="28"/>
        <v>-160.70382628553406</v>
      </c>
      <c r="G520" s="8">
        <f t="shared" si="28"/>
        <v>-121.40765257106814</v>
      </c>
      <c r="H520" s="8">
        <f t="shared" si="28"/>
        <v>-42.815305142136282</v>
      </c>
    </row>
    <row r="521" spans="1:8" x14ac:dyDescent="0.2">
      <c r="A521" s="11"/>
      <c r="B521" s="11">
        <v>0.503</v>
      </c>
      <c r="C521">
        <f t="shared" si="27"/>
        <v>-60.944777112441784</v>
      </c>
      <c r="D521" s="8">
        <f t="shared" si="28"/>
        <v>-69.358148963249633</v>
      </c>
      <c r="E521" s="8">
        <f t="shared" si="28"/>
        <v>-74.388460762543872</v>
      </c>
      <c r="F521" s="8">
        <f t="shared" si="28"/>
        <v>-160.80830259523108</v>
      </c>
      <c r="G521" s="8">
        <f t="shared" si="28"/>
        <v>-121.61660519046218</v>
      </c>
      <c r="H521" s="8">
        <f t="shared" si="28"/>
        <v>-43.233210380924362</v>
      </c>
    </row>
    <row r="522" spans="1:8" x14ac:dyDescent="0.2">
      <c r="A522" s="11"/>
      <c r="B522" s="11">
        <v>0.504</v>
      </c>
      <c r="C522">
        <f t="shared" si="27"/>
        <v>-61.037234042553195</v>
      </c>
      <c r="D522" s="8">
        <f t="shared" si="28"/>
        <v>-69.59561760095076</v>
      </c>
      <c r="E522" s="8">
        <f t="shared" si="28"/>
        <v>-74.574606782057074</v>
      </c>
      <c r="F522" s="8">
        <f t="shared" si="28"/>
        <v>-160.91243192306013</v>
      </c>
      <c r="G522" s="8">
        <f t="shared" si="28"/>
        <v>-121.82486384612027</v>
      </c>
      <c r="H522" s="8">
        <f t="shared" si="28"/>
        <v>-43.649727692240532</v>
      </c>
    </row>
    <row r="523" spans="1:8" x14ac:dyDescent="0.2">
      <c r="A523" s="11"/>
      <c r="B523" s="11">
        <v>0.505</v>
      </c>
      <c r="C523">
        <f t="shared" si="27"/>
        <v>-61.129568106312291</v>
      </c>
      <c r="D523" s="8">
        <f t="shared" si="28"/>
        <v>-69.832461842326779</v>
      </c>
      <c r="E523" s="8">
        <f t="shared" si="28"/>
        <v>-74.76027849202238</v>
      </c>
      <c r="F523" s="8">
        <f t="shared" si="28"/>
        <v>-161.01621565095923</v>
      </c>
      <c r="G523" s="8">
        <f t="shared" si="28"/>
        <v>-122.03243130191846</v>
      </c>
      <c r="H523" s="8">
        <f t="shared" si="28"/>
        <v>-44.064862603836929</v>
      </c>
    </row>
    <row r="524" spans="1:8" x14ac:dyDescent="0.2">
      <c r="A524" s="11"/>
      <c r="B524" s="11">
        <v>0.50600000000000001</v>
      </c>
      <c r="C524">
        <f t="shared" si="27"/>
        <v>-61.221779548472767</v>
      </c>
      <c r="D524" s="8">
        <f t="shared" si="28"/>
        <v>-70.068683810449073</v>
      </c>
      <c r="E524" s="8">
        <f t="shared" si="28"/>
        <v>-74.945477517382756</v>
      </c>
      <c r="F524" s="8">
        <f t="shared" si="28"/>
        <v>-161.11965515444945</v>
      </c>
      <c r="G524" s="8">
        <f t="shared" si="28"/>
        <v>-122.23931030889891</v>
      </c>
      <c r="H524" s="8">
        <f t="shared" si="28"/>
        <v>-44.478620617797816</v>
      </c>
    </row>
    <row r="525" spans="1:8" x14ac:dyDescent="0.2">
      <c r="A525" s="11"/>
      <c r="B525" s="11">
        <v>0.50700000000000001</v>
      </c>
      <c r="C525">
        <f t="shared" si="27"/>
        <v>-61.313868613138709</v>
      </c>
      <c r="D525" s="8">
        <f t="shared" si="28"/>
        <v>-70.304285619593259</v>
      </c>
      <c r="E525" s="8">
        <f t="shared" si="28"/>
        <v>-75.130205476231765</v>
      </c>
      <c r="F525" s="8">
        <f t="shared" si="28"/>
        <v>-161.22275180266891</v>
      </c>
      <c r="G525" s="8">
        <f t="shared" si="28"/>
        <v>-122.44550360533783</v>
      </c>
      <c r="H525" s="8">
        <f t="shared" si="28"/>
        <v>-44.891007210675667</v>
      </c>
    </row>
    <row r="526" spans="1:8" x14ac:dyDescent="0.2">
      <c r="A526" s="11"/>
      <c r="B526" s="11">
        <v>0.50800000000000001</v>
      </c>
      <c r="C526">
        <f t="shared" si="27"/>
        <v>-61.405835543766585</v>
      </c>
      <c r="D526" s="8">
        <f t="shared" si="28"/>
        <v>-70.539269375281961</v>
      </c>
      <c r="E526" s="8">
        <f t="shared" si="28"/>
        <v>-75.314463979847204</v>
      </c>
      <c r="F526" s="8">
        <f t="shared" si="28"/>
        <v>-161.32550695840661</v>
      </c>
      <c r="G526" s="8">
        <f t="shared" si="28"/>
        <v>-122.6510139168132</v>
      </c>
      <c r="H526" s="8">
        <f t="shared" si="28"/>
        <v>-45.302027833626397</v>
      </c>
    </row>
    <row r="527" spans="1:8" x14ac:dyDescent="0.2">
      <c r="A527" s="11"/>
      <c r="B527" s="11">
        <v>0.50900000000000001</v>
      </c>
      <c r="C527">
        <f t="shared" si="27"/>
        <v>-61.497680583167664</v>
      </c>
      <c r="D527" s="8">
        <f t="shared" si="28"/>
        <v>-70.773637174327718</v>
      </c>
      <c r="E527" s="8">
        <f t="shared" si="28"/>
        <v>-75.498254632725548</v>
      </c>
      <c r="F527" s="8">
        <f t="shared" si="28"/>
        <v>-161.42792197813611</v>
      </c>
      <c r="G527" s="8">
        <f t="shared" si="28"/>
        <v>-122.85584395627221</v>
      </c>
      <c r="H527" s="8">
        <f t="shared" si="28"/>
        <v>-45.71168791254442</v>
      </c>
    </row>
    <row r="528" spans="1:8" x14ac:dyDescent="0.2">
      <c r="A528" s="11"/>
      <c r="B528" s="11">
        <v>0.51</v>
      </c>
      <c r="C528">
        <f t="shared" si="27"/>
        <v>-61.589403973509945</v>
      </c>
      <c r="D528" s="8">
        <f t="shared" si="28"/>
        <v>-71.007391104875012</v>
      </c>
      <c r="E528" s="8">
        <f t="shared" si="28"/>
        <v>-75.68157903261492</v>
      </c>
      <c r="F528" s="8">
        <f t="shared" si="28"/>
        <v>-161.52999821204895</v>
      </c>
      <c r="G528" s="8">
        <f t="shared" si="28"/>
        <v>-123.05999642409793</v>
      </c>
      <c r="H528" s="8">
        <f t="shared" si="28"/>
        <v>-46.119992848195864</v>
      </c>
    </row>
    <row r="529" spans="1:8" x14ac:dyDescent="0.2">
      <c r="A529" s="11"/>
      <c r="B529" s="11">
        <v>0.51100000000000001</v>
      </c>
      <c r="C529">
        <f t="shared" si="27"/>
        <v>-61.68100595632032</v>
      </c>
      <c r="D529" s="8">
        <f t="shared" si="28"/>
        <v>-71.240533246442325</v>
      </c>
      <c r="E529" s="8">
        <f t="shared" si="28"/>
        <v>-75.864438770548674</v>
      </c>
      <c r="F529" s="8">
        <f t="shared" si="28"/>
        <v>-161.63173700408788</v>
      </c>
      <c r="G529" s="8">
        <f t="shared" si="28"/>
        <v>-123.26347400817575</v>
      </c>
      <c r="H529" s="8">
        <f t="shared" si="28"/>
        <v>-46.526948016351497</v>
      </c>
    </row>
    <row r="530" spans="1:8" x14ac:dyDescent="0.2">
      <c r="A530" s="11"/>
      <c r="B530" s="11">
        <v>0.51200000000000001</v>
      </c>
      <c r="C530">
        <f t="shared" si="27"/>
        <v>-61.772486772486786</v>
      </c>
      <c r="D530" s="8">
        <f t="shared" si="28"/>
        <v>-71.473065669964086</v>
      </c>
      <c r="E530" s="8">
        <f t="shared" si="28"/>
        <v>-76.046835430878645</v>
      </c>
      <c r="F530" s="8">
        <f t="shared" si="28"/>
        <v>-161.73313969197974</v>
      </c>
      <c r="G530" s="8">
        <f t="shared" si="28"/>
        <v>-123.46627938395947</v>
      </c>
      <c r="H530" s="8">
        <f t="shared" si="28"/>
        <v>-46.932558767918948</v>
      </c>
    </row>
    <row r="531" spans="1:8" x14ac:dyDescent="0.2">
      <c r="A531" s="11"/>
      <c r="B531" s="11">
        <v>0.51300000000000001</v>
      </c>
      <c r="C531">
        <f t="shared" si="27"/>
        <v>-61.863846662260414</v>
      </c>
      <c r="D531" s="8">
        <f t="shared" si="28"/>
        <v>-71.70499043783235</v>
      </c>
      <c r="E531" s="8">
        <f t="shared" si="28"/>
        <v>-76.228770591308148</v>
      </c>
      <c r="F531" s="8">
        <f t="shared" si="28"/>
        <v>-161.83420760726852</v>
      </c>
      <c r="G531" s="8">
        <f t="shared" si="28"/>
        <v>-123.66841521453703</v>
      </c>
      <c r="H531" s="8">
        <f t="shared" si="28"/>
        <v>-47.33683042907407</v>
      </c>
    </row>
    <row r="532" spans="1:8" x14ac:dyDescent="0.2">
      <c r="A532" s="11"/>
      <c r="B532" s="11">
        <v>0.51400000000000001</v>
      </c>
      <c r="C532">
        <f t="shared" ref="C532:C595" si="29">$C$5+$C$6/(1+$B532)</f>
        <v>-61.955085865257587</v>
      </c>
      <c r="D532" s="8">
        <f t="shared" si="28"/>
        <v>-71.936309603938184</v>
      </c>
      <c r="E532" s="8">
        <f t="shared" si="28"/>
        <v>-76.41024582292475</v>
      </c>
      <c r="F532" s="8">
        <f t="shared" si="28"/>
        <v>-161.93494207534792</v>
      </c>
      <c r="G532" s="8">
        <f t="shared" si="28"/>
        <v>-123.86988415069582</v>
      </c>
      <c r="H532" s="8">
        <f t="shared" si="28"/>
        <v>-47.739768301391649</v>
      </c>
    </row>
    <row r="533" spans="1:8" x14ac:dyDescent="0.2">
      <c r="A533" s="11"/>
      <c r="B533" s="11">
        <v>0.51500000000000001</v>
      </c>
      <c r="C533">
        <f t="shared" si="29"/>
        <v>-62.046204620462049</v>
      </c>
      <c r="D533" s="8">
        <f t="shared" si="28"/>
        <v>-72.167025213712677</v>
      </c>
      <c r="E533" s="8">
        <f t="shared" si="28"/>
        <v>-76.591262690232938</v>
      </c>
      <c r="F533" s="8">
        <f t="shared" si="28"/>
        <v>-162.03534441549368</v>
      </c>
      <c r="G533" s="8">
        <f t="shared" si="28"/>
        <v>-124.07068883098738</v>
      </c>
      <c r="H533" s="8">
        <f t="shared" si="28"/>
        <v>-48.141377661974758</v>
      </c>
    </row>
    <row r="534" spans="1:8" x14ac:dyDescent="0.2">
      <c r="A534" s="11"/>
      <c r="B534" s="11">
        <v>0.51600000000000001</v>
      </c>
      <c r="C534">
        <f t="shared" si="29"/>
        <v>-62.137203166226925</v>
      </c>
      <c r="D534" s="8">
        <f t="shared" si="28"/>
        <v>-72.397139304167908</v>
      </c>
      <c r="E534" s="8">
        <f t="shared" si="28"/>
        <v>-76.771822751186463</v>
      </c>
      <c r="F534" s="8">
        <f t="shared" si="28"/>
        <v>-162.135415940896</v>
      </c>
      <c r="G534" s="8">
        <f t="shared" si="28"/>
        <v>-124.27083188179196</v>
      </c>
      <c r="H534" s="8">
        <f t="shared" si="28"/>
        <v>-48.541663763583927</v>
      </c>
    </row>
    <row r="535" spans="1:8" x14ac:dyDescent="0.2">
      <c r="A535" s="11"/>
      <c r="B535" s="11">
        <v>0.51700000000000002</v>
      </c>
      <c r="C535">
        <f t="shared" si="29"/>
        <v>-62.228081740276849</v>
      </c>
      <c r="D535" s="8">
        <f t="shared" si="28"/>
        <v>-72.62665390393785</v>
      </c>
      <c r="E535" s="8">
        <f t="shared" si="28"/>
        <v>-76.95192755722087</v>
      </c>
      <c r="F535" s="8">
        <f t="shared" si="28"/>
        <v>-162.23515795869145</v>
      </c>
      <c r="G535" s="8">
        <f t="shared" si="28"/>
        <v>-124.47031591738291</v>
      </c>
      <c r="H535" s="8">
        <f t="shared" si="28"/>
        <v>-48.94063183476581</v>
      </c>
    </row>
    <row r="536" spans="1:8" x14ac:dyDescent="0.2">
      <c r="A536" s="11"/>
      <c r="B536" s="11">
        <v>0.51800000000000002</v>
      </c>
      <c r="C536">
        <f t="shared" si="29"/>
        <v>-62.318840579710155</v>
      </c>
      <c r="D536" s="8">
        <f t="shared" si="28"/>
        <v>-72.855571033318711</v>
      </c>
      <c r="E536" s="8">
        <f t="shared" si="28"/>
        <v>-77.13157865328543</v>
      </c>
      <c r="F536" s="8">
        <f t="shared" si="28"/>
        <v>-162.33457176999505</v>
      </c>
      <c r="G536" s="8">
        <f t="shared" si="28"/>
        <v>-124.66914353999009</v>
      </c>
      <c r="H536" s="8">
        <f t="shared" si="28"/>
        <v>-49.338287079980176</v>
      </c>
    </row>
    <row r="537" spans="1:8" x14ac:dyDescent="0.2">
      <c r="A537" s="11"/>
      <c r="B537" s="11">
        <v>0.51900000000000002</v>
      </c>
      <c r="C537">
        <f t="shared" si="29"/>
        <v>-62.409479921000667</v>
      </c>
      <c r="D537" s="8">
        <f t="shared" si="28"/>
        <v>-73.083892704308937</v>
      </c>
      <c r="E537" s="8">
        <f t="shared" si="28"/>
        <v>-77.310777577874802</v>
      </c>
      <c r="F537" s="8">
        <f t="shared" si="28"/>
        <v>-162.43365866993165</v>
      </c>
      <c r="G537" s="8">
        <f t="shared" si="28"/>
        <v>-124.86731733986328</v>
      </c>
      <c r="H537" s="8">
        <f t="shared" si="28"/>
        <v>-49.734634679726554</v>
      </c>
    </row>
    <row r="538" spans="1:8" x14ac:dyDescent="0.2">
      <c r="A538" s="11"/>
      <c r="B538" s="11">
        <v>0.52</v>
      </c>
      <c r="C538">
        <f t="shared" si="29"/>
        <v>-62.5</v>
      </c>
      <c r="D538" s="8">
        <f t="shared" si="28"/>
        <v>-73.311620920649773</v>
      </c>
      <c r="E538" s="8">
        <f t="shared" si="28"/>
        <v>-77.489525863061203</v>
      </c>
      <c r="F538" s="8">
        <f t="shared" si="28"/>
        <v>-162.53241994766768</v>
      </c>
      <c r="G538" s="8">
        <f t="shared" si="28"/>
        <v>-125.06483989533537</v>
      </c>
      <c r="H538" s="8">
        <f t="shared" si="28"/>
        <v>-50.129679790670735</v>
      </c>
    </row>
    <row r="539" spans="1:8" x14ac:dyDescent="0.2">
      <c r="A539" s="11"/>
      <c r="B539" s="11">
        <v>0.52100000000000002</v>
      </c>
      <c r="C539">
        <f t="shared" si="29"/>
        <v>-62.590401051939494</v>
      </c>
      <c r="D539" s="8">
        <f t="shared" si="28"/>
        <v>-73.538757677864666</v>
      </c>
      <c r="E539" s="8">
        <f t="shared" si="28"/>
        <v>-77.667825034525777</v>
      </c>
      <c r="F539" s="8">
        <f t="shared" si="28"/>
        <v>-162.63085688644242</v>
      </c>
      <c r="G539" s="8">
        <f t="shared" si="28"/>
        <v>-125.2617137728848</v>
      </c>
      <c r="H539" s="8">
        <f t="shared" si="28"/>
        <v>-50.523427545769607</v>
      </c>
    </row>
    <row r="540" spans="1:8" x14ac:dyDescent="0.2">
      <c r="A540" s="11"/>
      <c r="B540" s="11">
        <v>0.52200000000000002</v>
      </c>
      <c r="C540">
        <f t="shared" si="29"/>
        <v>-62.680683311432318</v>
      </c>
      <c r="D540" s="8">
        <f t="shared" si="28"/>
        <v>-73.765304963299016</v>
      </c>
      <c r="E540" s="8">
        <f t="shared" si="28"/>
        <v>-77.845676611589823</v>
      </c>
      <c r="F540" s="8">
        <f t="shared" si="28"/>
        <v>-162.72897076359897</v>
      </c>
      <c r="G540" s="8">
        <f t="shared" si="28"/>
        <v>-125.45794152719796</v>
      </c>
      <c r="H540" s="8">
        <f t="shared" si="28"/>
        <v>-50.91588305439592</v>
      </c>
    </row>
    <row r="541" spans="1:8" x14ac:dyDescent="0.2">
      <c r="A541" s="11"/>
      <c r="B541" s="11">
        <v>0.52300000000000002</v>
      </c>
      <c r="C541">
        <f t="shared" si="29"/>
        <v>-62.7708470124754</v>
      </c>
      <c r="D541" s="8">
        <f t="shared" si="28"/>
        <v>-73.991264756159481</v>
      </c>
      <c r="E541" s="8">
        <f t="shared" si="28"/>
        <v>-78.023082107246225</v>
      </c>
      <c r="F541" s="8">
        <f t="shared" si="28"/>
        <v>-162.82676285061541</v>
      </c>
      <c r="G541" s="8">
        <f t="shared" si="28"/>
        <v>-125.65352570123085</v>
      </c>
      <c r="H541" s="8">
        <f t="shared" si="28"/>
        <v>-51.307051402461695</v>
      </c>
    </row>
    <row r="542" spans="1:8" x14ac:dyDescent="0.2">
      <c r="A542" s="11"/>
      <c r="B542" s="11">
        <v>0.52400000000000002</v>
      </c>
      <c r="C542">
        <f t="shared" si="29"/>
        <v>-62.860892388451447</v>
      </c>
      <c r="D542" s="8">
        <f t="shared" ref="D542:H592" si="30">$D$5+(D$6/(1+$B542))+(D$7/(1+$B542)^2)+(D$8/(1+$B542)^3)+(D$9/(1+$B542)^4)</f>
        <v>-74.216639027553072</v>
      </c>
      <c r="E542" s="8">
        <f t="shared" si="30"/>
        <v>-78.200043028190166</v>
      </c>
      <c r="F542" s="8">
        <f t="shared" si="30"/>
        <v>-162.92423441313534</v>
      </c>
      <c r="G542" s="8">
        <f t="shared" si="30"/>
        <v>-125.84846882627069</v>
      </c>
      <c r="H542" s="8">
        <f t="shared" si="30"/>
        <v>-51.696937652541379</v>
      </c>
    </row>
    <row r="543" spans="1:8" x14ac:dyDescent="0.2">
      <c r="A543" s="11"/>
      <c r="B543" s="11">
        <v>0.52500000000000002</v>
      </c>
      <c r="C543">
        <f t="shared" si="29"/>
        <v>-62.950819672131132</v>
      </c>
      <c r="D543" s="8">
        <f t="shared" si="30"/>
        <v>-74.441429740526374</v>
      </c>
      <c r="E543" s="8">
        <f t="shared" si="30"/>
        <v>-78.376560874850412</v>
      </c>
      <c r="F543" s="8">
        <f t="shared" si="30"/>
        <v>-163.02138671099863</v>
      </c>
      <c r="G543" s="8">
        <f t="shared" si="30"/>
        <v>-126.04277342199724</v>
      </c>
      <c r="H543" s="8">
        <f t="shared" si="30"/>
        <v>-52.085546843994479</v>
      </c>
    </row>
    <row r="544" spans="1:8" x14ac:dyDescent="0.2">
      <c r="A544" s="11"/>
      <c r="B544" s="11">
        <v>0.52600000000000002</v>
      </c>
      <c r="C544">
        <f t="shared" si="29"/>
        <v>-63.040629095674973</v>
      </c>
      <c r="D544" s="8">
        <f t="shared" si="30"/>
        <v>-74.665638850104088</v>
      </c>
      <c r="E544" s="8">
        <f t="shared" si="30"/>
        <v>-78.552637141419638</v>
      </c>
      <c r="F544" s="8">
        <f t="shared" si="30"/>
        <v>-163.11822099827174</v>
      </c>
      <c r="G544" s="8">
        <f t="shared" si="30"/>
        <v>-126.23644199654348</v>
      </c>
      <c r="H544" s="8">
        <f t="shared" si="30"/>
        <v>-52.472883993086953</v>
      </c>
    </row>
    <row r="545" spans="1:8" x14ac:dyDescent="0.2">
      <c r="A545" s="11"/>
      <c r="B545" s="11">
        <v>0.52700000000000002</v>
      </c>
      <c r="C545">
        <f t="shared" si="29"/>
        <v>-63.130320890635232</v>
      </c>
      <c r="D545" s="8">
        <f t="shared" si="30"/>
        <v>-74.889268303327299</v>
      </c>
      <c r="E545" s="8">
        <f t="shared" si="30"/>
        <v>-78.72827331588492</v>
      </c>
      <c r="F545" s="8">
        <f t="shared" si="30"/>
        <v>-163.21473852327793</v>
      </c>
      <c r="G545" s="8">
        <f t="shared" si="30"/>
        <v>-126.42947704655585</v>
      </c>
      <c r="H545" s="8">
        <f t="shared" si="30"/>
        <v>-52.858954093111691</v>
      </c>
    </row>
    <row r="546" spans="1:8" x14ac:dyDescent="0.2">
      <c r="A546" s="11"/>
      <c r="B546" s="11">
        <v>0.52800000000000002</v>
      </c>
      <c r="C546">
        <f t="shared" si="29"/>
        <v>-63.21989528795811</v>
      </c>
      <c r="D546" s="8">
        <f t="shared" si="30"/>
        <v>-75.112320039292143</v>
      </c>
      <c r="E546" s="8">
        <f t="shared" si="30"/>
        <v>-78.903470880058279</v>
      </c>
      <c r="F546" s="8">
        <f t="shared" si="30"/>
        <v>-163.31094052862727</v>
      </c>
      <c r="G546" s="8">
        <f t="shared" si="30"/>
        <v>-126.62188105725453</v>
      </c>
      <c r="H546" s="8">
        <f t="shared" si="30"/>
        <v>-53.243762114509053</v>
      </c>
    </row>
    <row r="547" spans="1:8" x14ac:dyDescent="0.2">
      <c r="A547" s="11"/>
      <c r="B547" s="11">
        <v>0.52900000000000003</v>
      </c>
      <c r="C547">
        <f t="shared" si="29"/>
        <v>-63.309352517985616</v>
      </c>
      <c r="D547" s="8">
        <f t="shared" si="30"/>
        <v>-75.334795989187853</v>
      </c>
      <c r="E547" s="8">
        <f t="shared" si="30"/>
        <v>-79.078231309606764</v>
      </c>
      <c r="F547" s="8">
        <f t="shared" si="30"/>
        <v>-163.40682825124665</v>
      </c>
      <c r="G547" s="8">
        <f t="shared" si="30"/>
        <v>-126.81365650249329</v>
      </c>
      <c r="H547" s="8">
        <f t="shared" si="30"/>
        <v>-53.627313004986576</v>
      </c>
    </row>
    <row r="548" spans="1:8" x14ac:dyDescent="0.2">
      <c r="A548" s="11"/>
      <c r="B548" s="11">
        <v>0.53</v>
      </c>
      <c r="C548">
        <f t="shared" si="29"/>
        <v>-63.398692810457533</v>
      </c>
      <c r="D548" s="8">
        <f t="shared" si="30"/>
        <v>-75.55669807633447</v>
      </c>
      <c r="E548" s="8">
        <f t="shared" si="30"/>
        <v>-79.252556074082392</v>
      </c>
      <c r="F548" s="8">
        <f t="shared" si="30"/>
        <v>-163.50240292240932</v>
      </c>
      <c r="G548" s="8">
        <f t="shared" si="30"/>
        <v>-127.00480584481863</v>
      </c>
      <c r="H548" s="8">
        <f t="shared" si="30"/>
        <v>-54.009611689637268</v>
      </c>
    </row>
    <row r="549" spans="1:8" x14ac:dyDescent="0.2">
      <c r="A549" s="11"/>
      <c r="B549" s="11">
        <v>0.53100000000000003</v>
      </c>
      <c r="C549">
        <f t="shared" si="29"/>
        <v>-63.487916394513405</v>
      </c>
      <c r="D549" s="8">
        <f t="shared" si="30"/>
        <v>-75.778028216220605</v>
      </c>
      <c r="E549" s="8">
        <f t="shared" si="30"/>
        <v>-79.426446636951965</v>
      </c>
      <c r="F549" s="8">
        <f t="shared" si="30"/>
        <v>-163.59766576776443</v>
      </c>
      <c r="G549" s="8">
        <f t="shared" si="30"/>
        <v>-127.19533153552885</v>
      </c>
      <c r="H549" s="8">
        <f t="shared" si="30"/>
        <v>-54.390663071057702</v>
      </c>
    </row>
    <row r="550" spans="1:8" x14ac:dyDescent="0.2">
      <c r="A550" s="11"/>
      <c r="B550" s="11">
        <v>0.53200000000000003</v>
      </c>
      <c r="C550">
        <f t="shared" si="29"/>
        <v>-63.57702349869453</v>
      </c>
      <c r="D550" s="8">
        <f t="shared" si="30"/>
        <v>-75.998788316540811</v>
      </c>
      <c r="E550" s="8">
        <f t="shared" si="30"/>
        <v>-79.599904455626699</v>
      </c>
      <c r="F550" s="8">
        <f t="shared" si="30"/>
        <v>-163.69261800736635</v>
      </c>
      <c r="G550" s="8">
        <f t="shared" si="30"/>
        <v>-127.38523601473268</v>
      </c>
      <c r="H550" s="8">
        <f t="shared" si="30"/>
        <v>-54.770472029465367</v>
      </c>
    </row>
    <row r="551" spans="1:8" x14ac:dyDescent="0.2">
      <c r="A551" s="11"/>
      <c r="B551" s="11">
        <v>0.53300000000000003</v>
      </c>
      <c r="C551">
        <f t="shared" si="29"/>
        <v>-63.666014350945858</v>
      </c>
      <c r="D551" s="8">
        <f t="shared" si="30"/>
        <v>-76.21898027723303</v>
      </c>
      <c r="E551" s="8">
        <f t="shared" si="30"/>
        <v>-79.772930981491896</v>
      </c>
      <c r="F551" s="8">
        <f t="shared" si="30"/>
        <v>-163.78726085570395</v>
      </c>
      <c r="G551" s="8">
        <f t="shared" si="30"/>
        <v>-127.57452171140793</v>
      </c>
      <c r="H551" s="8">
        <f t="shared" si="30"/>
        <v>-55.149043422815851</v>
      </c>
    </row>
    <row r="552" spans="1:8" x14ac:dyDescent="0.2">
      <c r="A552" s="11"/>
      <c r="B552" s="11">
        <v>0.53400000000000003</v>
      </c>
      <c r="C552">
        <f t="shared" si="29"/>
        <v>-63.754889178617987</v>
      </c>
      <c r="D552" s="8">
        <f t="shared" si="30"/>
        <v>-76.438605990515626</v>
      </c>
      <c r="E552" s="8">
        <f t="shared" si="30"/>
        <v>-79.945527659936175</v>
      </c>
      <c r="F552" s="8">
        <f t="shared" si="30"/>
        <v>-163.88159552172957</v>
      </c>
      <c r="G552" s="8">
        <f t="shared" si="30"/>
        <v>-127.76319104345913</v>
      </c>
      <c r="H552" s="8">
        <f t="shared" si="30"/>
        <v>-55.526382086918261</v>
      </c>
    </row>
    <row r="553" spans="1:8" x14ac:dyDescent="0.2">
      <c r="A553" s="11"/>
      <c r="B553" s="11">
        <v>0.53500000000000003</v>
      </c>
      <c r="C553">
        <f t="shared" si="29"/>
        <v>-63.843648208469062</v>
      </c>
      <c r="D553" s="8">
        <f t="shared" si="30"/>
        <v>-76.65766734092395</v>
      </c>
      <c r="E553" s="8">
        <f t="shared" si="30"/>
        <v>-80.117695930380449</v>
      </c>
      <c r="F553" s="8">
        <f t="shared" si="30"/>
        <v>-163.97562320888761</v>
      </c>
      <c r="G553" s="8">
        <f t="shared" si="30"/>
        <v>-127.95124641777525</v>
      </c>
      <c r="H553" s="8">
        <f t="shared" si="30"/>
        <v>-55.902492835550504</v>
      </c>
    </row>
    <row r="554" spans="1:8" x14ac:dyDescent="0.2">
      <c r="A554" s="11"/>
      <c r="B554" s="11">
        <v>0.53600000000000003</v>
      </c>
      <c r="C554">
        <f t="shared" si="29"/>
        <v>-63.932291666666657</v>
      </c>
      <c r="D554" s="8">
        <f t="shared" si="30"/>
        <v>-76.876166205347346</v>
      </c>
      <c r="E554" s="8">
        <f t="shared" si="30"/>
        <v>-80.289437226307257</v>
      </c>
      <c r="F554" s="8">
        <f t="shared" si="30"/>
        <v>-164.06934511514356</v>
      </c>
      <c r="G554" s="8">
        <f t="shared" si="30"/>
        <v>-128.13869023028715</v>
      </c>
      <c r="H554" s="8">
        <f t="shared" si="30"/>
        <v>-56.277380460574307</v>
      </c>
    </row>
    <row r="555" spans="1:8" x14ac:dyDescent="0.2">
      <c r="A555" s="11"/>
      <c r="B555" s="11">
        <v>0.53700000000000003</v>
      </c>
      <c r="C555">
        <f t="shared" si="29"/>
        <v>-64.020819778789843</v>
      </c>
      <c r="D555" s="8">
        <f t="shared" si="30"/>
        <v>-77.09410445306537</v>
      </c>
      <c r="E555" s="8">
        <f t="shared" si="30"/>
        <v>-80.460752975289324</v>
      </c>
      <c r="F555" s="8">
        <f t="shared" si="30"/>
        <v>-164.16276243301223</v>
      </c>
      <c r="G555" s="8">
        <f t="shared" si="30"/>
        <v>-128.32552486602449</v>
      </c>
      <c r="H555" s="8">
        <f t="shared" si="30"/>
        <v>-56.651049732048989</v>
      </c>
    </row>
    <row r="556" spans="1:8" x14ac:dyDescent="0.2">
      <c r="A556" s="11"/>
      <c r="B556" s="11">
        <v>0.53800000000000003</v>
      </c>
      <c r="C556">
        <f t="shared" si="29"/>
        <v>-64.109232769830953</v>
      </c>
      <c r="D556" s="8">
        <f t="shared" si="30"/>
        <v>-77.311483945784261</v>
      </c>
      <c r="E556" s="8">
        <f t="shared" si="30"/>
        <v>-80.631644599018443</v>
      </c>
      <c r="F556" s="8">
        <f t="shared" si="30"/>
        <v>-164.2558763495862</v>
      </c>
      <c r="G556" s="8">
        <f t="shared" si="30"/>
        <v>-128.5117526991724</v>
      </c>
      <c r="H556" s="8">
        <f t="shared" si="30"/>
        <v>-57.02350539834481</v>
      </c>
    </row>
    <row r="557" spans="1:8" x14ac:dyDescent="0.2">
      <c r="A557" s="11"/>
      <c r="B557" s="11">
        <v>0.53900000000000003</v>
      </c>
      <c r="C557">
        <f t="shared" si="29"/>
        <v>-64.197530864197546</v>
      </c>
      <c r="D557" s="8">
        <f t="shared" si="30"/>
        <v>-77.528306537672705</v>
      </c>
      <c r="E557" s="8">
        <f t="shared" si="30"/>
        <v>-80.802113513333836</v>
      </c>
      <c r="F557" s="8">
        <f t="shared" si="30"/>
        <v>-164.34868804656384</v>
      </c>
      <c r="G557" s="8">
        <f t="shared" si="30"/>
        <v>-128.69737609312767</v>
      </c>
      <c r="H557" s="8">
        <f t="shared" si="30"/>
        <v>-57.394752186255374</v>
      </c>
    </row>
    <row r="558" spans="1:8" x14ac:dyDescent="0.2">
      <c r="A558" s="11"/>
      <c r="B558" s="11">
        <v>0.54</v>
      </c>
      <c r="C558">
        <f t="shared" si="29"/>
        <v>-64.285714285714278</v>
      </c>
      <c r="D558" s="8">
        <f t="shared" si="30"/>
        <v>-77.744574075397907</v>
      </c>
      <c r="E558" s="8">
        <f t="shared" si="30"/>
        <v>-80.972161128250619</v>
      </c>
      <c r="F558" s="8">
        <f t="shared" si="30"/>
        <v>-164.44119870027745</v>
      </c>
      <c r="G558" s="8">
        <f t="shared" si="30"/>
        <v>-128.88239740055491</v>
      </c>
      <c r="H558" s="8">
        <f t="shared" si="30"/>
        <v>-57.764794801109787</v>
      </c>
    </row>
    <row r="559" spans="1:8" x14ac:dyDescent="0.2">
      <c r="A559" s="11"/>
      <c r="B559" s="11">
        <v>0.54100000000000004</v>
      </c>
      <c r="C559">
        <f t="shared" si="29"/>
        <v>-64.373783257624922</v>
      </c>
      <c r="D559" s="8">
        <f t="shared" si="30"/>
        <v>-77.960288398161254</v>
      </c>
      <c r="E559" s="8">
        <f t="shared" si="30"/>
        <v>-81.141788847987996</v>
      </c>
      <c r="F559" s="8">
        <f t="shared" si="30"/>
        <v>-164.53340948172107</v>
      </c>
      <c r="G559" s="8">
        <f t="shared" si="30"/>
        <v>-129.06681896344213</v>
      </c>
      <c r="H559" s="8">
        <f t="shared" si="30"/>
        <v>-58.133637926884234</v>
      </c>
    </row>
    <row r="560" spans="1:8" x14ac:dyDescent="0.2">
      <c r="A560" s="11"/>
      <c r="B560" s="11">
        <v>0.54200000000000004</v>
      </c>
      <c r="C560">
        <f t="shared" si="29"/>
        <v>-64.461738002594046</v>
      </c>
      <c r="D560" s="8">
        <f t="shared" si="30"/>
        <v>-78.175451337733662</v>
      </c>
      <c r="E560" s="8">
        <f t="shared" si="30"/>
        <v>-81.310998070997286</v>
      </c>
      <c r="F560" s="8">
        <f t="shared" si="30"/>
        <v>-164.62532155657806</v>
      </c>
      <c r="G560" s="8">
        <f t="shared" si="30"/>
        <v>-129.25064311315612</v>
      </c>
      <c r="H560" s="8">
        <f t="shared" si="30"/>
        <v>-58.501286226312203</v>
      </c>
    </row>
    <row r="561" spans="1:8" x14ac:dyDescent="0.2">
      <c r="A561" s="11"/>
      <c r="B561" s="11">
        <v>0.54300000000000004</v>
      </c>
      <c r="C561">
        <f t="shared" si="29"/>
        <v>-64.549578742709031</v>
      </c>
      <c r="D561" s="8">
        <f t="shared" si="30"/>
        <v>-78.390064718490947</v>
      </c>
      <c r="E561" s="8">
        <f t="shared" si="30"/>
        <v>-81.479790189989828</v>
      </c>
      <c r="F561" s="8">
        <f t="shared" si="30"/>
        <v>-164.71693608524868</v>
      </c>
      <c r="G561" s="8">
        <f t="shared" si="30"/>
        <v>-129.43387217049738</v>
      </c>
      <c r="H561" s="8">
        <f t="shared" si="30"/>
        <v>-58.867744340994761</v>
      </c>
    </row>
    <row r="562" spans="1:8" x14ac:dyDescent="0.2">
      <c r="A562" s="11"/>
      <c r="B562" s="11">
        <v>0.54400000000000004</v>
      </c>
      <c r="C562">
        <f t="shared" si="29"/>
        <v>-64.637305699481857</v>
      </c>
      <c r="D562" s="8">
        <f t="shared" si="30"/>
        <v>-78.604130357448781</v>
      </c>
      <c r="E562" s="8">
        <f t="shared" si="30"/>
        <v>-81.648166591964653</v>
      </c>
      <c r="F562" s="8">
        <f t="shared" si="30"/>
        <v>-164.80825422287742</v>
      </c>
      <c r="G562" s="8">
        <f t="shared" si="30"/>
        <v>-129.61650844575485</v>
      </c>
      <c r="H562" s="8">
        <f t="shared" si="30"/>
        <v>-59.23301689150972</v>
      </c>
    </row>
    <row r="563" spans="1:8" x14ac:dyDescent="0.2">
      <c r="A563" s="11"/>
      <c r="B563" s="11">
        <v>0.54500000000000004</v>
      </c>
      <c r="C563">
        <f t="shared" si="29"/>
        <v>-64.724919093851128</v>
      </c>
      <c r="D563" s="8">
        <f t="shared" si="30"/>
        <v>-78.817650064297752</v>
      </c>
      <c r="E563" s="8">
        <f t="shared" si="30"/>
        <v>-81.816128658236138</v>
      </c>
      <c r="F563" s="8">
        <f t="shared" si="30"/>
        <v>-164.8992771193802</v>
      </c>
      <c r="G563" s="8">
        <f t="shared" si="30"/>
        <v>-129.7985542387604</v>
      </c>
      <c r="H563" s="8">
        <f t="shared" si="30"/>
        <v>-59.597108477520777</v>
      </c>
    </row>
    <row r="564" spans="1:8" x14ac:dyDescent="0.2">
      <c r="A564" s="11"/>
      <c r="B564" s="11">
        <v>0.54600000000000004</v>
      </c>
      <c r="C564">
        <f t="shared" si="29"/>
        <v>-64.812419146183714</v>
      </c>
      <c r="D564" s="8">
        <f t="shared" si="30"/>
        <v>-79.030625641438021</v>
      </c>
      <c r="E564" s="8">
        <f t="shared" si="30"/>
        <v>-81.983677764461532</v>
      </c>
      <c r="F564" s="8">
        <f t="shared" si="30"/>
        <v>-164.99000591947134</v>
      </c>
      <c r="G564" s="8">
        <f t="shared" si="30"/>
        <v>-129.98001183894269</v>
      </c>
      <c r="H564" s="8">
        <f t="shared" si="30"/>
        <v>-59.960023677885346</v>
      </c>
    </row>
    <row r="565" spans="1:8" x14ac:dyDescent="0.2">
      <c r="A565" s="11"/>
      <c r="B565" s="11">
        <v>0.54700000000000004</v>
      </c>
      <c r="C565">
        <f t="shared" si="29"/>
        <v>-64.89980607627669</v>
      </c>
      <c r="D565" s="8">
        <f t="shared" si="30"/>
        <v>-79.243058884013806</v>
      </c>
      <c r="E565" s="8">
        <f t="shared" si="30"/>
        <v>-82.150815280668041</v>
      </c>
      <c r="F565" s="8">
        <f t="shared" si="30"/>
        <v>-165.08044176269055</v>
      </c>
      <c r="G565" s="8">
        <f t="shared" si="30"/>
        <v>-130.16088352538111</v>
      </c>
      <c r="H565" s="8">
        <f t="shared" si="30"/>
        <v>-60.321767050762219</v>
      </c>
    </row>
    <row r="566" spans="1:8" x14ac:dyDescent="0.2">
      <c r="A566" s="11"/>
      <c r="B566" s="11">
        <v>0.54800000000000004</v>
      </c>
      <c r="C566">
        <f t="shared" si="29"/>
        <v>-64.987080103359176</v>
      </c>
      <c r="D566" s="8">
        <f t="shared" si="30"/>
        <v>-79.454951579947533</v>
      </c>
      <c r="E566" s="8">
        <f t="shared" si="30"/>
        <v>-82.317542571280029</v>
      </c>
      <c r="F566" s="8">
        <f t="shared" si="30"/>
        <v>-165.17058578342949</v>
      </c>
      <c r="G566" s="8">
        <f t="shared" si="30"/>
        <v>-130.341171566859</v>
      </c>
      <c r="H566" s="8">
        <f t="shared" si="30"/>
        <v>-60.682343133718007</v>
      </c>
    </row>
    <row r="567" spans="1:8" x14ac:dyDescent="0.2">
      <c r="A567" s="11"/>
      <c r="B567" s="11">
        <v>0.54900000000000004</v>
      </c>
      <c r="C567">
        <f t="shared" si="29"/>
        <v>-65.074241446094248</v>
      </c>
      <c r="D567" s="8">
        <f t="shared" si="30"/>
        <v>-79.666305509974322</v>
      </c>
      <c r="E567" s="8">
        <f t="shared" si="30"/>
        <v>-82.483860995146074</v>
      </c>
      <c r="F567" s="8">
        <f t="shared" si="30"/>
        <v>-165.26043911095849</v>
      </c>
      <c r="G567" s="8">
        <f t="shared" si="30"/>
        <v>-130.520878221917</v>
      </c>
      <c r="H567" s="8">
        <f t="shared" si="30"/>
        <v>-61.041756443834004</v>
      </c>
    </row>
    <row r="568" spans="1:8" x14ac:dyDescent="0.2">
      <c r="A568" s="11"/>
      <c r="B568" s="11">
        <v>0.55000000000000004</v>
      </c>
      <c r="C568">
        <f t="shared" si="29"/>
        <v>-65.161290322580641</v>
      </c>
      <c r="D568" s="8">
        <f t="shared" si="30"/>
        <v>-79.877122447675816</v>
      </c>
      <c r="E568" s="8">
        <f t="shared" si="30"/>
        <v>-82.649771905565785</v>
      </c>
      <c r="F568" s="8">
        <f t="shared" si="30"/>
        <v>-165.35000286945291</v>
      </c>
      <c r="G568" s="8">
        <f t="shared" si="30"/>
        <v>-130.70000573890579</v>
      </c>
      <c r="H568" s="8">
        <f t="shared" si="30"/>
        <v>-61.400011477811574</v>
      </c>
    </row>
    <row r="569" spans="1:8" x14ac:dyDescent="0.2">
      <c r="A569" s="11"/>
      <c r="B569" s="11">
        <v>0.55100000000000005</v>
      </c>
      <c r="C569">
        <f t="shared" si="29"/>
        <v>-65.248226950354621</v>
      </c>
      <c r="D569" s="8">
        <f t="shared" si="30"/>
        <v>-80.087404159513724</v>
      </c>
      <c r="E569" s="8">
        <f t="shared" si="30"/>
        <v>-82.815276650316335</v>
      </c>
      <c r="F569" s="8">
        <f t="shared" si="30"/>
        <v>-165.43927817801921</v>
      </c>
      <c r="G569" s="8">
        <f t="shared" si="30"/>
        <v>-130.87855635603842</v>
      </c>
      <c r="H569" s="8">
        <f t="shared" si="30"/>
        <v>-61.757112712076832</v>
      </c>
    </row>
    <row r="570" spans="1:8" x14ac:dyDescent="0.2">
      <c r="A570" s="11"/>
      <c r="B570" s="11">
        <v>0.55200000000000005</v>
      </c>
      <c r="C570">
        <f t="shared" si="29"/>
        <v>-65.335051546391753</v>
      </c>
      <c r="D570" s="8">
        <f t="shared" si="30"/>
        <v>-80.297152404863681</v>
      </c>
      <c r="E570" s="8">
        <f t="shared" si="30"/>
        <v>-82.980376571679159</v>
      </c>
      <c r="F570" s="8">
        <f t="shared" si="30"/>
        <v>-165.52826615072138</v>
      </c>
      <c r="G570" s="8">
        <f t="shared" si="30"/>
        <v>-131.05653230144273</v>
      </c>
      <c r="H570" s="8">
        <f t="shared" si="30"/>
        <v>-62.113064602885458</v>
      </c>
    </row>
    <row r="571" spans="1:8" x14ac:dyDescent="0.2">
      <c r="A571" s="11"/>
      <c r="B571" s="11">
        <v>0.55300000000000005</v>
      </c>
      <c r="C571">
        <f t="shared" si="29"/>
        <v>-65.421764327108804</v>
      </c>
      <c r="D571" s="8">
        <f t="shared" si="30"/>
        <v>-80.50636893604856</v>
      </c>
      <c r="E571" s="8">
        <f t="shared" si="30"/>
        <v>-83.145073006466333</v>
      </c>
      <c r="F571" s="8">
        <f t="shared" si="30"/>
        <v>-165.61696789660664</v>
      </c>
      <c r="G571" s="8">
        <f t="shared" si="30"/>
        <v>-131.23393579321325</v>
      </c>
      <c r="H571" s="8">
        <f t="shared" si="30"/>
        <v>-62.467871586426497</v>
      </c>
    </row>
    <row r="572" spans="1:8" x14ac:dyDescent="0.2">
      <c r="A572" s="11"/>
      <c r="B572" s="11">
        <v>0.55400000000000005</v>
      </c>
      <c r="C572">
        <f t="shared" si="29"/>
        <v>-65.5083655083655</v>
      </c>
      <c r="D572" s="8">
        <f t="shared" si="30"/>
        <v>-80.715055498371797</v>
      </c>
      <c r="E572" s="8">
        <f t="shared" si="30"/>
        <v>-83.309367286046836</v>
      </c>
      <c r="F572" s="8">
        <f t="shared" si="30"/>
        <v>-165.70538451973135</v>
      </c>
      <c r="G572" s="8">
        <f t="shared" si="30"/>
        <v>-131.41076903946271</v>
      </c>
      <c r="H572" s="8">
        <f t="shared" si="30"/>
        <v>-62.821538078925414</v>
      </c>
    </row>
    <row r="573" spans="1:8" x14ac:dyDescent="0.2">
      <c r="A573" s="11"/>
      <c r="B573" s="11">
        <v>0.55500000000000005</v>
      </c>
      <c r="C573">
        <f t="shared" si="29"/>
        <v>-65.59485530546624</v>
      </c>
      <c r="D573" s="8">
        <f t="shared" si="30"/>
        <v>-80.923213830150218</v>
      </c>
      <c r="E573" s="8">
        <f t="shared" si="30"/>
        <v>-83.473260736372453</v>
      </c>
      <c r="F573" s="8">
        <f t="shared" si="30"/>
        <v>-165.79351711918665</v>
      </c>
      <c r="G573" s="8">
        <f t="shared" si="30"/>
        <v>-131.58703423837329</v>
      </c>
      <c r="H573" s="8">
        <f t="shared" si="30"/>
        <v>-63.174068476746584</v>
      </c>
    </row>
    <row r="574" spans="1:8" x14ac:dyDescent="0.2">
      <c r="A574" s="11"/>
      <c r="B574" s="11">
        <v>0.55600000000000005</v>
      </c>
      <c r="C574">
        <f t="shared" si="29"/>
        <v>-65.681233933161963</v>
      </c>
      <c r="D574" s="8">
        <f t="shared" si="30"/>
        <v>-81.130845662746992</v>
      </c>
      <c r="E574" s="8">
        <f t="shared" si="30"/>
        <v>-83.636754678003868</v>
      </c>
      <c r="F574" s="8">
        <f t="shared" si="30"/>
        <v>-165.88136678912389</v>
      </c>
      <c r="G574" s="8">
        <f t="shared" si="30"/>
        <v>-131.76273357824778</v>
      </c>
      <c r="H574" s="8">
        <f t="shared" si="30"/>
        <v>-63.525467156495523</v>
      </c>
    </row>
    <row r="575" spans="1:8" x14ac:dyDescent="0.2">
      <c r="A575" s="11"/>
      <c r="B575" s="11">
        <v>0.55700000000000005</v>
      </c>
      <c r="C575">
        <f t="shared" si="29"/>
        <v>-65.767501605651887</v>
      </c>
      <c r="D575" s="8">
        <f t="shared" si="30"/>
        <v>-81.337952720604534</v>
      </c>
      <c r="E575" s="8">
        <f t="shared" si="30"/>
        <v>-83.7998504261367</v>
      </c>
      <c r="F575" s="8">
        <f t="shared" si="30"/>
        <v>-165.96893461878008</v>
      </c>
      <c r="G575" s="8">
        <f t="shared" si="30"/>
        <v>-131.93786923756016</v>
      </c>
      <c r="H575" s="8">
        <f t="shared" si="30"/>
        <v>-63.875738475120301</v>
      </c>
    </row>
    <row r="576" spans="1:8" x14ac:dyDescent="0.2">
      <c r="A576" s="11"/>
      <c r="B576" s="11">
        <v>0.55800000000000005</v>
      </c>
      <c r="C576">
        <f t="shared" si="29"/>
        <v>-65.853658536585357</v>
      </c>
      <c r="D576" s="8">
        <f t="shared" si="30"/>
        <v>-81.54453672127687</v>
      </c>
      <c r="E576" s="8">
        <f t="shared" si="30"/>
        <v>-83.962549290626868</v>
      </c>
      <c r="F576" s="8">
        <f t="shared" si="30"/>
        <v>-166.05622169250313</v>
      </c>
      <c r="G576" s="8">
        <f t="shared" si="30"/>
        <v>-132.11244338500623</v>
      </c>
      <c r="H576" s="8">
        <f t="shared" si="30"/>
        <v>-64.224886770012461</v>
      </c>
    </row>
    <row r="577" spans="1:8" x14ac:dyDescent="0.2">
      <c r="A577" s="11"/>
      <c r="B577" s="11">
        <v>0.55900000000000005</v>
      </c>
      <c r="C577">
        <f t="shared" si="29"/>
        <v>-65.939704939063517</v>
      </c>
      <c r="D577" s="8">
        <f t="shared" si="30"/>
        <v>-81.750599375461661</v>
      </c>
      <c r="E577" s="8">
        <f t="shared" si="30"/>
        <v>-84.124852576016053</v>
      </c>
      <c r="F577" s="8">
        <f t="shared" si="30"/>
        <v>-166.1432290897767</v>
      </c>
      <c r="G577" s="8">
        <f t="shared" si="30"/>
        <v>-132.28645817955339</v>
      </c>
      <c r="H577" s="8">
        <f t="shared" si="30"/>
        <v>-64.572916359106785</v>
      </c>
    </row>
    <row r="578" spans="1:8" x14ac:dyDescent="0.2">
      <c r="A578" s="11"/>
      <c r="B578" s="11">
        <v>0.56000000000000005</v>
      </c>
      <c r="C578">
        <f t="shared" si="29"/>
        <v>-66.025641025641022</v>
      </c>
      <c r="D578" s="8">
        <f t="shared" si="30"/>
        <v>-81.956142387032997</v>
      </c>
      <c r="E578" s="8">
        <f t="shared" si="30"/>
        <v>-84.286761581557528</v>
      </c>
      <c r="F578" s="8">
        <f t="shared" si="30"/>
        <v>-166.2299578852454</v>
      </c>
      <c r="G578" s="8">
        <f t="shared" si="30"/>
        <v>-132.4599157704908</v>
      </c>
      <c r="H578" s="8">
        <f t="shared" si="30"/>
        <v>-64.919831540981619</v>
      </c>
    </row>
    <row r="579" spans="1:8" x14ac:dyDescent="0.2">
      <c r="A579" s="11"/>
      <c r="B579" s="11">
        <v>0.56100000000000005</v>
      </c>
      <c r="C579">
        <f t="shared" si="29"/>
        <v>-66.111467008327992</v>
      </c>
      <c r="D579" s="8">
        <f t="shared" si="30"/>
        <v>-82.161167453072878</v>
      </c>
      <c r="E579" s="8">
        <f t="shared" si="30"/>
        <v>-84.44827760124096</v>
      </c>
      <c r="F579" s="8">
        <f t="shared" si="30"/>
        <v>-166.31640914873941</v>
      </c>
      <c r="G579" s="8">
        <f t="shared" si="30"/>
        <v>-132.63281829747879</v>
      </c>
      <c r="H579" s="8">
        <f t="shared" si="30"/>
        <v>-65.265636594957584</v>
      </c>
    </row>
    <row r="580" spans="1:8" x14ac:dyDescent="0.2">
      <c r="A580" s="11"/>
      <c r="B580" s="11">
        <v>0.56200000000000006</v>
      </c>
      <c r="C580">
        <f t="shared" si="29"/>
        <v>-66.197183098591552</v>
      </c>
      <c r="D580" s="8">
        <f t="shared" si="30"/>
        <v>-82.365676263903381</v>
      </c>
      <c r="E580" s="8">
        <f t="shared" si="30"/>
        <v>-84.609401923817899</v>
      </c>
      <c r="F580" s="8">
        <f t="shared" si="30"/>
        <v>-166.40258394529909</v>
      </c>
      <c r="G580" s="8">
        <f t="shared" si="30"/>
        <v>-132.80516789059817</v>
      </c>
      <c r="H580" s="8">
        <f t="shared" si="30"/>
        <v>-65.610335781196341</v>
      </c>
    </row>
    <row r="581" spans="1:8" x14ac:dyDescent="0.2">
      <c r="A581" s="11"/>
      <c r="B581" s="11">
        <v>0.56299999999999994</v>
      </c>
      <c r="C581">
        <f t="shared" si="29"/>
        <v>-66.282789507357649</v>
      </c>
      <c r="D581" s="8">
        <f t="shared" si="30"/>
        <v>-82.569670503117877</v>
      </c>
      <c r="E581" s="8">
        <f t="shared" si="30"/>
        <v>-84.770135832826327</v>
      </c>
      <c r="F581" s="8">
        <f t="shared" si="30"/>
        <v>-166.48848333519953</v>
      </c>
      <c r="G581" s="8">
        <f t="shared" si="30"/>
        <v>-132.97696667039909</v>
      </c>
      <c r="H581" s="8">
        <f t="shared" si="30"/>
        <v>-65.953933340798187</v>
      </c>
    </row>
    <row r="582" spans="1:8" x14ac:dyDescent="0.2">
      <c r="A582" s="11"/>
      <c r="B582" s="11">
        <v>0.56399999999999995</v>
      </c>
      <c r="C582">
        <f t="shared" si="29"/>
        <v>-66.368286445012785</v>
      </c>
      <c r="D582" s="8">
        <f t="shared" si="30"/>
        <v>-82.77315184761315</v>
      </c>
      <c r="E582" s="8">
        <f t="shared" si="30"/>
        <v>-84.930480606616001</v>
      </c>
      <c r="F582" s="8">
        <f t="shared" si="30"/>
        <v>-166.57410837397504</v>
      </c>
      <c r="G582" s="8">
        <f t="shared" si="30"/>
        <v>-133.14821674795007</v>
      </c>
      <c r="H582" s="8">
        <f t="shared" si="30"/>
        <v>-66.296433495900118</v>
      </c>
    </row>
    <row r="583" spans="1:8" x14ac:dyDescent="0.2">
      <c r="A583" s="11"/>
      <c r="B583" s="11">
        <v>0.56499999999999995</v>
      </c>
      <c r="C583">
        <f t="shared" si="29"/>
        <v>-66.453674121405754</v>
      </c>
      <c r="D583" s="8">
        <f t="shared" si="30"/>
        <v>-82.976121967619946</v>
      </c>
      <c r="E583" s="8">
        <f t="shared" si="30"/>
        <v>-85.090437518372653</v>
      </c>
      <c r="F583" s="8">
        <f t="shared" si="30"/>
        <v>-166.65946011244293</v>
      </c>
      <c r="G583" s="8">
        <f t="shared" si="30"/>
        <v>-133.31892022488586</v>
      </c>
      <c r="H583" s="8">
        <f t="shared" si="30"/>
        <v>-66.637840449771744</v>
      </c>
    </row>
    <row r="584" spans="1:8" x14ac:dyDescent="0.2">
      <c r="A584" s="11"/>
      <c r="B584" s="11">
        <v>0.56599999999999995</v>
      </c>
      <c r="C584">
        <f t="shared" si="29"/>
        <v>-66.538952745849286</v>
      </c>
      <c r="D584" s="8">
        <f t="shared" si="30"/>
        <v>-83.1785825267348</v>
      </c>
      <c r="E584" s="8">
        <f t="shared" si="30"/>
        <v>-85.250007836143055</v>
      </c>
      <c r="F584" s="8">
        <f t="shared" si="30"/>
        <v>-166.74453959672815</v>
      </c>
      <c r="G584" s="8">
        <f t="shared" si="30"/>
        <v>-133.48907919345629</v>
      </c>
      <c r="H584" s="8">
        <f t="shared" si="30"/>
        <v>-66.978158386912583</v>
      </c>
    </row>
    <row r="585" spans="1:8" x14ac:dyDescent="0.2">
      <c r="A585" s="11"/>
      <c r="B585" s="11">
        <v>0.56699999999999995</v>
      </c>
      <c r="C585">
        <f t="shared" si="29"/>
        <v>-66.624122527121898</v>
      </c>
      <c r="D585" s="8">
        <f t="shared" si="30"/>
        <v>-83.380535181950705</v>
      </c>
      <c r="E585" s="8">
        <f t="shared" si="30"/>
        <v>-85.40919282285914</v>
      </c>
      <c r="F585" s="8">
        <f t="shared" si="30"/>
        <v>-166.82934786828679</v>
      </c>
      <c r="G585" s="8">
        <f t="shared" si="30"/>
        <v>-133.65869573657358</v>
      </c>
      <c r="H585" s="8">
        <f t="shared" si="30"/>
        <v>-67.317391473147183</v>
      </c>
    </row>
    <row r="586" spans="1:8" x14ac:dyDescent="0.2">
      <c r="A586" s="11"/>
      <c r="B586" s="11">
        <v>0.56799999999999995</v>
      </c>
      <c r="C586">
        <f t="shared" si="29"/>
        <v>-66.709183673469397</v>
      </c>
      <c r="D586" s="8">
        <f t="shared" si="30"/>
        <v>-83.581981583687821</v>
      </c>
      <c r="E586" s="8">
        <f t="shared" si="30"/>
        <v>-85.567993736362297</v>
      </c>
      <c r="F586" s="8">
        <f t="shared" si="30"/>
        <v>-166.91388596393006</v>
      </c>
      <c r="G586" s="8">
        <f t="shared" si="30"/>
        <v>-133.82777192786014</v>
      </c>
      <c r="H586" s="8">
        <f t="shared" si="30"/>
        <v>-67.655543855720282</v>
      </c>
    </row>
    <row r="587" spans="1:8" x14ac:dyDescent="0.2">
      <c r="A587" s="11"/>
      <c r="B587" s="11">
        <v>0.56899999999999995</v>
      </c>
      <c r="C587">
        <f t="shared" si="29"/>
        <v>-66.79413639260676</v>
      </c>
      <c r="D587" s="8">
        <f t="shared" si="30"/>
        <v>-83.782923375824211</v>
      </c>
      <c r="E587" s="8">
        <f t="shared" si="30"/>
        <v>-85.726411829427647</v>
      </c>
      <c r="F587" s="8">
        <f t="shared" si="30"/>
        <v>-166.99815491584792</v>
      </c>
      <c r="G587" s="8">
        <f t="shared" si="30"/>
        <v>-133.99630983169584</v>
      </c>
      <c r="H587" s="8">
        <f t="shared" si="30"/>
        <v>-67.992619663391679</v>
      </c>
    </row>
    <row r="588" spans="1:8" x14ac:dyDescent="0.2">
      <c r="A588" s="11"/>
      <c r="B588" s="11">
        <v>0.56999999999999995</v>
      </c>
      <c r="C588">
        <f t="shared" si="29"/>
        <v>-66.878980891719721</v>
      </c>
      <c r="D588" s="8">
        <f t="shared" si="30"/>
        <v>-83.983362195726585</v>
      </c>
      <c r="E588" s="8">
        <f t="shared" si="30"/>
        <v>-85.884448349788215</v>
      </c>
      <c r="F588" s="8">
        <f t="shared" si="30"/>
        <v>-167.08215575163263</v>
      </c>
      <c r="G588" s="8">
        <f t="shared" si="30"/>
        <v>-134.16431150326525</v>
      </c>
      <c r="H588" s="8">
        <f t="shared" si="30"/>
        <v>-68.328623006530506</v>
      </c>
    </row>
    <row r="589" spans="1:8" x14ac:dyDescent="0.2">
      <c r="A589" s="11"/>
      <c r="B589" s="11">
        <v>0.57099999999999995</v>
      </c>
      <c r="C589">
        <f t="shared" si="29"/>
        <v>-66.963717377466565</v>
      </c>
      <c r="D589" s="8">
        <f t="shared" si="30"/>
        <v>-84.183299674280221</v>
      </c>
      <c r="E589" s="8">
        <f t="shared" si="30"/>
        <v>-86.042104540158576</v>
      </c>
      <c r="F589" s="8">
        <f t="shared" si="30"/>
        <v>-167.16588949430206</v>
      </c>
      <c r="G589" s="8">
        <f t="shared" si="30"/>
        <v>-134.33177898860416</v>
      </c>
      <c r="H589" s="8">
        <f t="shared" si="30"/>
        <v>-68.663557977208313</v>
      </c>
    </row>
    <row r="590" spans="1:8" x14ac:dyDescent="0.2">
      <c r="A590" s="11"/>
      <c r="B590" s="11">
        <v>0.57199999999999995</v>
      </c>
      <c r="C590">
        <f t="shared" si="29"/>
        <v>-67.048346055979636</v>
      </c>
      <c r="D590" s="8">
        <f t="shared" si="30"/>
        <v>-84.382737435919296</v>
      </c>
      <c r="E590" s="8">
        <f t="shared" si="30"/>
        <v>-86.199381638258728</v>
      </c>
      <c r="F590" s="8">
        <f t="shared" si="30"/>
        <v>-167.24935716232312</v>
      </c>
      <c r="G590" s="8">
        <f t="shared" si="30"/>
        <v>-134.49871432464622</v>
      </c>
      <c r="H590" s="8">
        <f t="shared" si="30"/>
        <v>-68.997428649292431</v>
      </c>
    </row>
    <row r="591" spans="1:8" x14ac:dyDescent="0.2">
      <c r="A591" s="11"/>
      <c r="B591" s="11">
        <v>0.57299999999999995</v>
      </c>
      <c r="C591">
        <f t="shared" si="29"/>
        <v>-67.132867132867119</v>
      </c>
      <c r="D591" s="8">
        <f t="shared" si="30"/>
        <v>-84.58167709865694</v>
      </c>
      <c r="E591" s="8">
        <f t="shared" si="30"/>
        <v>-86.356280876837872</v>
      </c>
      <c r="F591" s="8">
        <f t="shared" si="30"/>
        <v>-167.33255976963457</v>
      </c>
      <c r="G591" s="8">
        <f t="shared" si="30"/>
        <v>-134.66511953926914</v>
      </c>
      <c r="H591" s="8">
        <f t="shared" si="30"/>
        <v>-69.330239078538312</v>
      </c>
    </row>
    <row r="592" spans="1:8" x14ac:dyDescent="0.2">
      <c r="A592" s="11"/>
      <c r="B592" s="11">
        <v>0.57399999999999995</v>
      </c>
      <c r="C592">
        <f t="shared" si="29"/>
        <v>-67.217280813214728</v>
      </c>
      <c r="D592" s="8">
        <f t="shared" si="30"/>
        <v>-84.780120274114964</v>
      </c>
      <c r="E592" s="8">
        <f t="shared" si="30"/>
        <v>-86.512803483697766</v>
      </c>
      <c r="F592" s="8">
        <f t="shared" si="30"/>
        <v>-167.4154983256704</v>
      </c>
      <c r="G592" s="8">
        <f t="shared" si="30"/>
        <v>-134.8309966513408</v>
      </c>
      <c r="H592" s="8">
        <f t="shared" si="30"/>
        <v>-69.661993302681594</v>
      </c>
    </row>
    <row r="593" spans="1:8" x14ac:dyDescent="0.2">
      <c r="A593" s="11"/>
      <c r="B593" s="11">
        <v>0.57499999999999996</v>
      </c>
      <c r="C593">
        <f t="shared" si="29"/>
        <v>-67.30158730158729</v>
      </c>
      <c r="D593" s="8">
        <f t="shared" ref="D593:H643" si="31">$D$5+(D$6/(1+$B593))+(D$7/(1+$B593)^2)+(D$8/(1+$B593)^3)+(D$9/(1+$B593)^4)</f>
        <v>-84.97806856755372</v>
      </c>
      <c r="E593" s="8">
        <f t="shared" si="31"/>
        <v>-86.668950681716254</v>
      </c>
      <c r="F593" s="8">
        <f t="shared" si="31"/>
        <v>-167.49817383538243</v>
      </c>
      <c r="G593" s="8">
        <f t="shared" si="31"/>
        <v>-134.99634767076486</v>
      </c>
      <c r="H593" s="8">
        <f t="shared" si="31"/>
        <v>-69.992695341529753</v>
      </c>
    </row>
    <row r="594" spans="1:8" x14ac:dyDescent="0.2">
      <c r="A594" s="11"/>
      <c r="B594" s="11">
        <v>0.57599999999999996</v>
      </c>
      <c r="C594">
        <f t="shared" si="29"/>
        <v>-67.385786802030452</v>
      </c>
      <c r="D594" s="8">
        <f t="shared" si="31"/>
        <v>-85.175523577901345</v>
      </c>
      <c r="E594" s="8">
        <f t="shared" si="31"/>
        <v>-86.824723688870421</v>
      </c>
      <c r="F594" s="8">
        <f t="shared" si="31"/>
        <v>-167.5805872992631</v>
      </c>
      <c r="G594" s="8">
        <f t="shared" si="31"/>
        <v>-135.1611745985262</v>
      </c>
      <c r="H594" s="8">
        <f t="shared" si="31"/>
        <v>-70.322349197052375</v>
      </c>
    </row>
    <row r="595" spans="1:8" x14ac:dyDescent="0.2">
      <c r="A595" s="11"/>
      <c r="B595" s="11">
        <v>0.57699999999999996</v>
      </c>
      <c r="C595">
        <f t="shared" si="29"/>
        <v>-67.469879518072275</v>
      </c>
      <c r="D595" s="8">
        <f t="shared" si="31"/>
        <v>-85.372486897783276</v>
      </c>
      <c r="E595" s="8">
        <f t="shared" si="31"/>
        <v>-86.980123718259748</v>
      </c>
      <c r="F595" s="8">
        <f t="shared" si="31"/>
        <v>-167.66273971336804</v>
      </c>
      <c r="G595" s="8">
        <f t="shared" si="31"/>
        <v>-135.32547942673608</v>
      </c>
      <c r="H595" s="8">
        <f t="shared" si="31"/>
        <v>-70.650958853472133</v>
      </c>
    </row>
    <row r="596" spans="1:8" x14ac:dyDescent="0.2">
      <c r="A596" s="11"/>
      <c r="B596" s="11">
        <v>0.57799999999999996</v>
      </c>
      <c r="C596">
        <f t="shared" ref="C596:C659" si="32">$C$5+$C$6/(1+$B596)</f>
        <v>-67.553865652724966</v>
      </c>
      <c r="D596" s="8">
        <f t="shared" si="31"/>
        <v>-85.568960113551483</v>
      </c>
      <c r="E596" s="8">
        <f t="shared" si="31"/>
        <v>-87.135151978129187</v>
      </c>
      <c r="F596" s="8">
        <f t="shared" si="31"/>
        <v>-167.74463206933865</v>
      </c>
      <c r="G596" s="8">
        <f t="shared" si="31"/>
        <v>-135.4892641386773</v>
      </c>
      <c r="H596" s="8">
        <f t="shared" si="31"/>
        <v>-70.978528277354599</v>
      </c>
    </row>
    <row r="597" spans="1:8" x14ac:dyDescent="0.2">
      <c r="A597" s="11"/>
      <c r="B597" s="11">
        <v>0.57899999999999996</v>
      </c>
      <c r="C597">
        <f t="shared" si="32"/>
        <v>-67.637745408486381</v>
      </c>
      <c r="D597" s="8">
        <f t="shared" si="31"/>
        <v>-85.764944805313618</v>
      </c>
      <c r="E597" s="8">
        <f t="shared" si="31"/>
        <v>-87.289809671892172</v>
      </c>
      <c r="F597" s="8">
        <f t="shared" si="31"/>
        <v>-167.82626535442438</v>
      </c>
      <c r="G597" s="8">
        <f t="shared" si="31"/>
        <v>-135.65253070884876</v>
      </c>
      <c r="H597" s="8">
        <f t="shared" si="31"/>
        <v>-71.305061417697516</v>
      </c>
    </row>
    <row r="598" spans="1:8" x14ac:dyDescent="0.2">
      <c r="A598" s="11"/>
      <c r="B598" s="11">
        <v>0.57999999999999996</v>
      </c>
      <c r="C598">
        <f t="shared" si="32"/>
        <v>-67.721518987341767</v>
      </c>
      <c r="D598" s="8">
        <f t="shared" si="31"/>
        <v>-85.960442546961602</v>
      </c>
      <c r="E598" s="8">
        <f t="shared" si="31"/>
        <v>-87.444097998153097</v>
      </c>
      <c r="F598" s="8">
        <f t="shared" si="31"/>
        <v>-167.9076405515049</v>
      </c>
      <c r="G598" s="8">
        <f t="shared" si="31"/>
        <v>-135.8152811030098</v>
      </c>
      <c r="H598" s="8">
        <f t="shared" si="31"/>
        <v>-71.63056220601959</v>
      </c>
    </row>
    <row r="599" spans="1:8" x14ac:dyDescent="0.2">
      <c r="A599" s="11"/>
      <c r="B599" s="11">
        <v>0.58099999999999996</v>
      </c>
      <c r="C599">
        <f t="shared" si="32"/>
        <v>-67.805186590765345</v>
      </c>
      <c r="D599" s="8">
        <f t="shared" si="31"/>
        <v>-86.155454906200589</v>
      </c>
      <c r="E599" s="8">
        <f t="shared" si="31"/>
        <v>-87.598018150730113</v>
      </c>
      <c r="F599" s="8">
        <f t="shared" si="31"/>
        <v>-167.98875863911221</v>
      </c>
      <c r="G599" s="8">
        <f t="shared" si="31"/>
        <v>-135.97751727822441</v>
      </c>
      <c r="H599" s="8">
        <f t="shared" si="31"/>
        <v>-71.955034556448823</v>
      </c>
    </row>
    <row r="600" spans="1:8" x14ac:dyDescent="0.2">
      <c r="A600" s="11"/>
      <c r="B600" s="11">
        <v>0.58199999999999996</v>
      </c>
      <c r="C600">
        <f t="shared" si="32"/>
        <v>-67.88874841972185</v>
      </c>
      <c r="D600" s="8">
        <f t="shared" si="31"/>
        <v>-86.349983444577603</v>
      </c>
      <c r="E600" s="8">
        <f t="shared" si="31"/>
        <v>-87.751571318677776</v>
      </c>
      <c r="F600" s="8">
        <f t="shared" si="31"/>
        <v>-168.06962059145269</v>
      </c>
      <c r="G600" s="8">
        <f t="shared" si="31"/>
        <v>-136.13924118290538</v>
      </c>
      <c r="H600" s="8">
        <f t="shared" si="31"/>
        <v>-72.278482365810774</v>
      </c>
    </row>
    <row r="601" spans="1:8" x14ac:dyDescent="0.2">
      <c r="A601" s="11"/>
      <c r="B601" s="11">
        <v>0.58299999999999996</v>
      </c>
      <c r="C601">
        <f t="shared" si="32"/>
        <v>-67.972204674668347</v>
      </c>
      <c r="D601" s="8">
        <f t="shared" si="31"/>
        <v>-86.544029717509858</v>
      </c>
      <c r="E601" s="8">
        <f t="shared" si="31"/>
        <v>-87.904758686309265</v>
      </c>
      <c r="F601" s="8">
        <f t="shared" si="31"/>
        <v>-168.15022737842887</v>
      </c>
      <c r="G601" s="8">
        <f t="shared" si="31"/>
        <v>-136.30045475685773</v>
      </c>
      <c r="H601" s="8">
        <f t="shared" si="31"/>
        <v>-72.600909513715465</v>
      </c>
    </row>
    <row r="602" spans="1:8" x14ac:dyDescent="0.2">
      <c r="A602" s="11"/>
      <c r="B602" s="11">
        <v>0.58399999999999996</v>
      </c>
      <c r="C602">
        <f t="shared" si="32"/>
        <v>-68.055555555555571</v>
      </c>
      <c r="D602" s="8">
        <f t="shared" si="31"/>
        <v>-86.737595274313094</v>
      </c>
      <c r="E602" s="8">
        <f t="shared" si="31"/>
        <v>-88.057581433218729</v>
      </c>
      <c r="F602" s="8">
        <f t="shared" si="31"/>
        <v>-168.23057996566112</v>
      </c>
      <c r="G602" s="8">
        <f t="shared" si="31"/>
        <v>-136.46115993132224</v>
      </c>
      <c r="H602" s="8">
        <f t="shared" si="31"/>
        <v>-72.922319862644457</v>
      </c>
    </row>
    <row r="603" spans="1:8" x14ac:dyDescent="0.2">
      <c r="A603" s="11"/>
      <c r="B603" s="11">
        <v>0.58499999999999996</v>
      </c>
      <c r="C603">
        <f t="shared" si="32"/>
        <v>-68.138801261829656</v>
      </c>
      <c r="D603" s="8">
        <f t="shared" si="31"/>
        <v>-86.930681658229631</v>
      </c>
      <c r="E603" s="8">
        <f t="shared" si="31"/>
        <v>-88.210040734303476</v>
      </c>
      <c r="F603" s="8">
        <f t="shared" si="31"/>
        <v>-168.31067931450926</v>
      </c>
      <c r="G603" s="8">
        <f t="shared" si="31"/>
        <v>-136.62135862901852</v>
      </c>
      <c r="H603" s="8">
        <f t="shared" si="31"/>
        <v>-73.242717258037047</v>
      </c>
    </row>
    <row r="604" spans="1:8" x14ac:dyDescent="0.2">
      <c r="A604" s="11"/>
      <c r="B604" s="11">
        <v>0.58599999999999997</v>
      </c>
      <c r="C604">
        <f t="shared" si="32"/>
        <v>-68.221941992433784</v>
      </c>
      <c r="D604" s="8">
        <f t="shared" si="31"/>
        <v>-87.123290406456562</v>
      </c>
      <c r="E604" s="8">
        <f t="shared" si="31"/>
        <v>-88.362137759785895</v>
      </c>
      <c r="F604" s="8">
        <f t="shared" si="31"/>
        <v>-168.39052638209409</v>
      </c>
      <c r="G604" s="8">
        <f t="shared" si="31"/>
        <v>-136.78105276418819</v>
      </c>
      <c r="H604" s="8">
        <f t="shared" si="31"/>
        <v>-73.562105528376406</v>
      </c>
    </row>
    <row r="605" spans="1:8" x14ac:dyDescent="0.2">
      <c r="A605" s="11"/>
      <c r="B605" s="11">
        <v>0.58699999999999997</v>
      </c>
      <c r="C605">
        <f t="shared" si="32"/>
        <v>-68.304977945809696</v>
      </c>
      <c r="D605" s="8">
        <f t="shared" si="31"/>
        <v>-87.315423050173422</v>
      </c>
      <c r="E605" s="8">
        <f t="shared" si="31"/>
        <v>-88.513873675235772</v>
      </c>
      <c r="F605" s="8">
        <f t="shared" si="31"/>
        <v>-168.47012212131872</v>
      </c>
      <c r="G605" s="8">
        <f t="shared" si="31"/>
        <v>-136.94024424263748</v>
      </c>
      <c r="H605" s="8">
        <f t="shared" si="31"/>
        <v>-73.880488485274938</v>
      </c>
    </row>
    <row r="606" spans="1:8" x14ac:dyDescent="0.2">
      <c r="A606" s="11"/>
      <c r="B606" s="11">
        <v>0.58799999999999997</v>
      </c>
      <c r="C606">
        <f t="shared" si="32"/>
        <v>-68.387909319899251</v>
      </c>
      <c r="D606" s="8">
        <f t="shared" si="31"/>
        <v>-87.507081114569971</v>
      </c>
      <c r="E606" s="8">
        <f t="shared" si="31"/>
        <v>-88.665249641591373</v>
      </c>
      <c r="F606" s="8">
        <f t="shared" si="31"/>
        <v>-168.54946748088972</v>
      </c>
      <c r="G606" s="8">
        <f t="shared" si="31"/>
        <v>-137.09893496177946</v>
      </c>
      <c r="H606" s="8">
        <f t="shared" si="31"/>
        <v>-74.197869923558912</v>
      </c>
    </row>
    <row r="607" spans="1:8" x14ac:dyDescent="0.2">
      <c r="A607" s="11"/>
      <c r="B607" s="11">
        <v>0.58899999999999997</v>
      </c>
      <c r="C607">
        <f t="shared" si="32"/>
        <v>-68.470736312145988</v>
      </c>
      <c r="D607" s="8">
        <f t="shared" si="31"/>
        <v>-87.698266118873562</v>
      </c>
      <c r="E607" s="8">
        <f t="shared" si="31"/>
        <v>-88.81626681518182</v>
      </c>
      <c r="F607" s="8">
        <f t="shared" si="31"/>
        <v>-168.62856340533824</v>
      </c>
      <c r="G607" s="8">
        <f t="shared" si="31"/>
        <v>-137.25712681067651</v>
      </c>
      <c r="H607" s="8">
        <f t="shared" si="31"/>
        <v>-74.514253621353006</v>
      </c>
    </row>
    <row r="608" spans="1:8" x14ac:dyDescent="0.2">
      <c r="A608" s="11"/>
      <c r="B608" s="11">
        <v>0.59</v>
      </c>
      <c r="C608">
        <f t="shared" si="32"/>
        <v>-68.553459119496836</v>
      </c>
      <c r="D608" s="8">
        <f t="shared" si="31"/>
        <v>-87.888979576376855</v>
      </c>
      <c r="E608" s="8">
        <f t="shared" si="31"/>
        <v>-88.966926347748426</v>
      </c>
      <c r="F608" s="8">
        <f t="shared" si="31"/>
        <v>-168.70741083504114</v>
      </c>
      <c r="G608" s="8">
        <f t="shared" si="31"/>
        <v>-137.41482167008229</v>
      </c>
      <c r="H608" s="8">
        <f t="shared" si="31"/>
        <v>-74.82964334016458</v>
      </c>
    </row>
    <row r="609" spans="1:8" x14ac:dyDescent="0.2">
      <c r="A609" s="11"/>
      <c r="B609" s="11">
        <v>0.59099999999999997</v>
      </c>
      <c r="C609">
        <f t="shared" si="32"/>
        <v>-68.636077938403531</v>
      </c>
      <c r="D609" s="8">
        <f t="shared" si="31"/>
        <v>-88.079222994465042</v>
      </c>
      <c r="E609" s="8">
        <f t="shared" si="31"/>
        <v>-89.117229386466164</v>
      </c>
      <c r="F609" s="8">
        <f t="shared" si="31"/>
        <v>-168.78601070624174</v>
      </c>
      <c r="G609" s="8">
        <f t="shared" si="31"/>
        <v>-137.57202141248348</v>
      </c>
      <c r="H609" s="8">
        <f t="shared" si="31"/>
        <v>-75.144042824966931</v>
      </c>
    </row>
    <row r="610" spans="1:8" x14ac:dyDescent="0.2">
      <c r="A610" s="11"/>
      <c r="B610" s="11">
        <v>0.59199999999999997</v>
      </c>
      <c r="C610">
        <f t="shared" si="32"/>
        <v>-68.718592964824126</v>
      </c>
      <c r="D610" s="8">
        <f t="shared" si="31"/>
        <v>-88.268997874642494</v>
      </c>
      <c r="E610" s="8">
        <f t="shared" si="31"/>
        <v>-89.26717707396476</v>
      </c>
      <c r="F610" s="8">
        <f t="shared" si="31"/>
        <v>-168.86436395107052</v>
      </c>
      <c r="G610" s="8">
        <f t="shared" si="31"/>
        <v>-137.728727902141</v>
      </c>
      <c r="H610" s="8">
        <f t="shared" si="31"/>
        <v>-75.45745580428202</v>
      </c>
    </row>
    <row r="611" spans="1:8" x14ac:dyDescent="0.2">
      <c r="A611" s="11"/>
      <c r="B611" s="11">
        <v>0.59299999999999997</v>
      </c>
      <c r="C611">
        <f t="shared" si="32"/>
        <v>-68.801004394224719</v>
      </c>
      <c r="D611" s="8">
        <f t="shared" si="31"/>
        <v>-88.458305712560275</v>
      </c>
      <c r="E611" s="8">
        <f t="shared" si="31"/>
        <v>-89.416770548350343</v>
      </c>
      <c r="F611" s="8">
        <f t="shared" si="31"/>
        <v>-168.94247149756583</v>
      </c>
      <c r="G611" s="8">
        <f t="shared" si="31"/>
        <v>-137.88494299513167</v>
      </c>
      <c r="H611" s="8">
        <f t="shared" si="31"/>
        <v>-75.769885990263347</v>
      </c>
    </row>
    <row r="612" spans="1:8" x14ac:dyDescent="0.2">
      <c r="A612" s="11"/>
      <c r="B612" s="11">
        <v>0.59399999999999997</v>
      </c>
      <c r="C612">
        <f t="shared" si="32"/>
        <v>-68.883312421580911</v>
      </c>
      <c r="D612" s="8">
        <f t="shared" si="31"/>
        <v>-88.647147998042755</v>
      </c>
      <c r="E612" s="8">
        <f t="shared" si="31"/>
        <v>-89.566010943226232</v>
      </c>
      <c r="F612" s="8">
        <f t="shared" si="31"/>
        <v>-169.0203342696945</v>
      </c>
      <c r="G612" s="8">
        <f t="shared" si="31"/>
        <v>-138.04066853938903</v>
      </c>
      <c r="H612" s="8">
        <f t="shared" si="31"/>
        <v>-76.081337078778049</v>
      </c>
    </row>
    <row r="613" spans="1:8" x14ac:dyDescent="0.2">
      <c r="A613" s="11"/>
      <c r="B613" s="11">
        <v>0.59499999999999997</v>
      </c>
      <c r="C613">
        <f t="shared" si="32"/>
        <v>-68.965517241379303</v>
      </c>
      <c r="D613" s="8">
        <f t="shared" si="31"/>
        <v>-88.835526215114498</v>
      </c>
      <c r="E613" s="8">
        <f t="shared" si="31"/>
        <v>-89.714899387714269</v>
      </c>
      <c r="F613" s="8">
        <f t="shared" si="31"/>
        <v>-169.09795318737213</v>
      </c>
      <c r="G613" s="8">
        <f t="shared" si="31"/>
        <v>-138.19590637474423</v>
      </c>
      <c r="H613" s="8">
        <f t="shared" si="31"/>
        <v>-76.391812749488452</v>
      </c>
    </row>
    <row r="614" spans="1:8" x14ac:dyDescent="0.2">
      <c r="A614" s="11"/>
      <c r="B614" s="11">
        <v>0.59599999999999997</v>
      </c>
      <c r="C614">
        <f t="shared" si="32"/>
        <v>-69.047619047619065</v>
      </c>
      <c r="D614" s="8">
        <f t="shared" si="31"/>
        <v>-89.023441842026315</v>
      </c>
      <c r="E614" s="8">
        <f t="shared" si="31"/>
        <v>-89.863437006475266</v>
      </c>
      <c r="F614" s="8">
        <f t="shared" si="31"/>
        <v>-169.17532916648327</v>
      </c>
      <c r="G614" s="8">
        <f t="shared" si="31"/>
        <v>-138.3506583329665</v>
      </c>
      <c r="H614" s="8">
        <f t="shared" si="31"/>
        <v>-76.701316665933007</v>
      </c>
    </row>
    <row r="615" spans="1:8" x14ac:dyDescent="0.2">
      <c r="A615" s="11"/>
      <c r="B615" s="11">
        <v>0.59699999999999998</v>
      </c>
      <c r="C615">
        <f t="shared" si="32"/>
        <v>-69.129618033813387</v>
      </c>
      <c r="D615" s="8">
        <f t="shared" si="31"/>
        <v>-89.21089635128223</v>
      </c>
      <c r="E615" s="8">
        <f t="shared" si="31"/>
        <v>-90.011624919730139</v>
      </c>
      <c r="F615" s="8">
        <f t="shared" si="31"/>
        <v>-169.2524631189018</v>
      </c>
      <c r="G615" s="8">
        <f t="shared" si="31"/>
        <v>-138.5049262378036</v>
      </c>
      <c r="H615" s="8">
        <f t="shared" si="31"/>
        <v>-77.00985247560719</v>
      </c>
    </row>
    <row r="616" spans="1:8" x14ac:dyDescent="0.2">
      <c r="A616" s="11"/>
      <c r="B616" s="11">
        <v>0.59799999999999998</v>
      </c>
      <c r="C616">
        <f t="shared" si="32"/>
        <v>-69.211514392991234</v>
      </c>
      <c r="D616" s="8">
        <f t="shared" si="31"/>
        <v>-89.397891209665516</v>
      </c>
      <c r="E616" s="8">
        <f t="shared" si="31"/>
        <v>-90.159464243280439</v>
      </c>
      <c r="F616" s="8">
        <f t="shared" si="31"/>
        <v>-169.32935595251095</v>
      </c>
      <c r="G616" s="8">
        <f t="shared" si="31"/>
        <v>-138.6587119050219</v>
      </c>
      <c r="H616" s="8">
        <f t="shared" si="31"/>
        <v>-77.317423810043834</v>
      </c>
    </row>
    <row r="617" spans="1:8" x14ac:dyDescent="0.2">
      <c r="A617" s="11"/>
      <c r="B617" s="11">
        <v>0.59899999999999998</v>
      </c>
      <c r="C617">
        <f t="shared" si="32"/>
        <v>-69.293308317698546</v>
      </c>
      <c r="D617" s="8">
        <f t="shared" si="31"/>
        <v>-89.584427878264776</v>
      </c>
      <c r="E617" s="8">
        <f t="shared" si="31"/>
        <v>-90.306956088528921</v>
      </c>
      <c r="F617" s="8">
        <f t="shared" si="31"/>
        <v>-169.4060085712232</v>
      </c>
      <c r="G617" s="8">
        <f t="shared" si="31"/>
        <v>-138.81201714244639</v>
      </c>
      <c r="H617" s="8">
        <f t="shared" si="31"/>
        <v>-77.624034284892772</v>
      </c>
    </row>
    <row r="618" spans="1:8" x14ac:dyDescent="0.2">
      <c r="A618" s="11"/>
      <c r="B618" s="11">
        <v>0.6</v>
      </c>
      <c r="C618">
        <f t="shared" si="32"/>
        <v>-69.375</v>
      </c>
      <c r="D618" s="8">
        <f t="shared" si="31"/>
        <v>-89.770507812500014</v>
      </c>
      <c r="E618" s="8">
        <f t="shared" si="31"/>
        <v>-90.454101562500014</v>
      </c>
      <c r="F618" s="8">
        <f t="shared" si="31"/>
        <v>-169.482421875</v>
      </c>
      <c r="G618" s="8">
        <f t="shared" si="31"/>
        <v>-138.96484375000003</v>
      </c>
      <c r="H618" s="8">
        <f t="shared" si="31"/>
        <v>-77.929687500000057</v>
      </c>
    </row>
    <row r="619" spans="1:8" x14ac:dyDescent="0.2">
      <c r="A619" s="11"/>
      <c r="B619" s="11">
        <v>0.60099999999999998</v>
      </c>
      <c r="C619">
        <f t="shared" si="32"/>
        <v>-69.456589631480313</v>
      </c>
      <c r="D619" s="8">
        <f t="shared" si="31"/>
        <v>-89.956132462148503</v>
      </c>
      <c r="E619" s="8">
        <f t="shared" si="31"/>
        <v>-90.600901767860094</v>
      </c>
      <c r="F619" s="8">
        <f t="shared" si="31"/>
        <v>-169.55859675987173</v>
      </c>
      <c r="G619" s="8">
        <f t="shared" si="31"/>
        <v>-139.11719351974347</v>
      </c>
      <c r="H619" s="8">
        <f t="shared" si="31"/>
        <v>-78.234387039486961</v>
      </c>
    </row>
    <row r="620" spans="1:8" x14ac:dyDescent="0.2">
      <c r="A620" s="11"/>
      <c r="B620" s="11">
        <v>0.60199999999999998</v>
      </c>
      <c r="C620">
        <f t="shared" si="32"/>
        <v>-69.538077403245921</v>
      </c>
      <c r="D620" s="8">
        <f t="shared" si="31"/>
        <v>-90.141303271370461</v>
      </c>
      <c r="E620" s="8">
        <f t="shared" si="31"/>
        <v>-90.747357802937785</v>
      </c>
      <c r="F620" s="8">
        <f t="shared" si="31"/>
        <v>-169.63453411795717</v>
      </c>
      <c r="G620" s="8">
        <f t="shared" si="31"/>
        <v>-139.26906823591438</v>
      </c>
      <c r="H620" s="8">
        <f t="shared" si="31"/>
        <v>-78.538136471828736</v>
      </c>
    </row>
    <row r="621" spans="1:8" x14ac:dyDescent="0.2">
      <c r="A621" s="11"/>
      <c r="B621" s="11">
        <v>0.60299999999999998</v>
      </c>
      <c r="C621">
        <f t="shared" si="32"/>
        <v>-69.619463505926376</v>
      </c>
      <c r="D621" s="8">
        <f t="shared" si="31"/>
        <v>-90.32602167873489</v>
      </c>
      <c r="E621" s="8">
        <f t="shared" si="31"/>
        <v>-90.893470761744169</v>
      </c>
      <c r="F621" s="8">
        <f t="shared" si="31"/>
        <v>-169.71023483748306</v>
      </c>
      <c r="G621" s="8">
        <f t="shared" si="31"/>
        <v>-139.42046967496611</v>
      </c>
      <c r="H621" s="8">
        <f t="shared" si="31"/>
        <v>-78.840939349932228</v>
      </c>
    </row>
    <row r="622" spans="1:8" x14ac:dyDescent="0.2">
      <c r="A622" s="11"/>
      <c r="B622" s="11">
        <v>0.60399999999999998</v>
      </c>
      <c r="C622">
        <f t="shared" si="32"/>
        <v>-69.700748129675816</v>
      </c>
      <c r="D622" s="8">
        <f t="shared" si="31"/>
        <v>-90.510289117244554</v>
      </c>
      <c r="E622" s="8">
        <f t="shared" si="31"/>
        <v>-91.039241733992469</v>
      </c>
      <c r="F622" s="8">
        <f t="shared" si="31"/>
        <v>-169.78569980280338</v>
      </c>
      <c r="G622" s="8">
        <f t="shared" si="31"/>
        <v>-139.57139960560676</v>
      </c>
      <c r="H622" s="8">
        <f t="shared" si="31"/>
        <v>-79.142799211213514</v>
      </c>
    </row>
    <row r="623" spans="1:8" x14ac:dyDescent="0.2">
      <c r="A623" s="11"/>
      <c r="B623" s="11">
        <v>0.60499999999999998</v>
      </c>
      <c r="C623">
        <f t="shared" si="32"/>
        <v>-69.781931464174448</v>
      </c>
      <c r="D623" s="8">
        <f t="shared" si="31"/>
        <v>-90.694107014361649</v>
      </c>
      <c r="E623" s="8">
        <f t="shared" si="31"/>
        <v>-91.18467180511837</v>
      </c>
      <c r="F623" s="8">
        <f t="shared" si="31"/>
        <v>-169.86092989441875</v>
      </c>
      <c r="G623" s="8">
        <f t="shared" si="31"/>
        <v>-139.72185978883752</v>
      </c>
      <c r="H623" s="8">
        <f t="shared" si="31"/>
        <v>-79.443719577675026</v>
      </c>
    </row>
    <row r="624" spans="1:8" x14ac:dyDescent="0.2">
      <c r="A624" s="11"/>
      <c r="B624" s="11">
        <v>0.60599999999999998</v>
      </c>
      <c r="C624">
        <f t="shared" si="32"/>
        <v>-69.863013698630112</v>
      </c>
      <c r="D624" s="8">
        <f t="shared" si="31"/>
        <v>-90.877476792033036</v>
      </c>
      <c r="E624" s="8">
        <f t="shared" si="31"/>
        <v>-91.329762056299501</v>
      </c>
      <c r="F624" s="8">
        <f t="shared" si="31"/>
        <v>-169.93592598899562</v>
      </c>
      <c r="G624" s="8">
        <f t="shared" si="31"/>
        <v>-139.87185197799127</v>
      </c>
      <c r="H624" s="8">
        <f t="shared" si="31"/>
        <v>-79.743703955982525</v>
      </c>
    </row>
    <row r="625" spans="1:8" x14ac:dyDescent="0.2">
      <c r="A625" s="11"/>
      <c r="B625" s="11">
        <v>0.60699999999999998</v>
      </c>
      <c r="C625">
        <f t="shared" si="32"/>
        <v>-69.943995021779699</v>
      </c>
      <c r="D625" s="8">
        <f t="shared" si="31"/>
        <v>-91.060399866715201</v>
      </c>
      <c r="E625" s="8">
        <f t="shared" si="31"/>
        <v>-91.474513564475359</v>
      </c>
      <c r="F625" s="8">
        <f t="shared" si="31"/>
        <v>-170.01068895938531</v>
      </c>
      <c r="G625" s="8">
        <f t="shared" si="31"/>
        <v>-140.02137791877061</v>
      </c>
      <c r="H625" s="8">
        <f t="shared" si="31"/>
        <v>-80.042755837541236</v>
      </c>
    </row>
    <row r="626" spans="1:8" x14ac:dyDescent="0.2">
      <c r="A626" s="11"/>
      <c r="B626" s="11">
        <v>0.60799999999999998</v>
      </c>
      <c r="C626">
        <f t="shared" si="32"/>
        <v>-70.024875621890544</v>
      </c>
      <c r="D626" s="8">
        <f t="shared" si="31"/>
        <v>-91.242877649399006</v>
      </c>
      <c r="E626" s="8">
        <f t="shared" si="31"/>
        <v>-91.618927402366793</v>
      </c>
      <c r="F626" s="8">
        <f t="shared" si="31"/>
        <v>-170.08521967464287</v>
      </c>
      <c r="G626" s="8">
        <f t="shared" si="31"/>
        <v>-140.17043934928572</v>
      </c>
      <c r="H626" s="8">
        <f t="shared" si="31"/>
        <v>-80.34087869857143</v>
      </c>
    </row>
    <row r="627" spans="1:8" x14ac:dyDescent="0.2">
      <c r="A627" s="11"/>
      <c r="B627" s="11">
        <v>0.60899999999999999</v>
      </c>
      <c r="C627">
        <f t="shared" si="32"/>
        <v>-70.105655686761963</v>
      </c>
      <c r="D627" s="8">
        <f t="shared" si="31"/>
        <v>-91.424911545634771</v>
      </c>
      <c r="E627" s="8">
        <f t="shared" si="31"/>
        <v>-91.763004638495374</v>
      </c>
      <c r="F627" s="8">
        <f t="shared" si="31"/>
        <v>-170.15951900004603</v>
      </c>
      <c r="G627" s="8">
        <f t="shared" si="31"/>
        <v>-140.31903800009206</v>
      </c>
      <c r="H627" s="8">
        <f t="shared" si="31"/>
        <v>-80.6380760001841</v>
      </c>
    </row>
    <row r="628" spans="1:8" x14ac:dyDescent="0.2">
      <c r="A628" s="11"/>
      <c r="B628" s="11">
        <v>0.61</v>
      </c>
      <c r="C628">
        <f t="shared" si="32"/>
        <v>-70.186335403726702</v>
      </c>
      <c r="D628" s="8">
        <f t="shared" si="31"/>
        <v>-91.606502955556891</v>
      </c>
      <c r="E628" s="8">
        <f t="shared" si="31"/>
        <v>-91.906746337203117</v>
      </c>
      <c r="F628" s="8">
        <f t="shared" si="31"/>
        <v>-170.23358779711404</v>
      </c>
      <c r="G628" s="8">
        <f t="shared" si="31"/>
        <v>-140.46717559422808</v>
      </c>
      <c r="H628" s="8">
        <f t="shared" si="31"/>
        <v>-80.934351188456176</v>
      </c>
    </row>
    <row r="629" spans="1:8" x14ac:dyDescent="0.2">
      <c r="A629" s="11"/>
      <c r="B629" s="11">
        <v>0.61099999999999999</v>
      </c>
      <c r="C629">
        <f t="shared" si="32"/>
        <v>-70.266914959652382</v>
      </c>
      <c r="D629" s="8">
        <f t="shared" si="31"/>
        <v>-91.787653273908333</v>
      </c>
      <c r="E629" s="8">
        <f t="shared" si="31"/>
        <v>-92.050153558671497</v>
      </c>
      <c r="F629" s="8">
        <f t="shared" si="31"/>
        <v>-170.3074269236262</v>
      </c>
      <c r="G629" s="8">
        <f t="shared" si="31"/>
        <v>-140.61485384725239</v>
      </c>
      <c r="H629" s="8">
        <f t="shared" si="31"/>
        <v>-81.229707694504782</v>
      </c>
    </row>
    <row r="630" spans="1:8" x14ac:dyDescent="0.2">
      <c r="A630" s="11"/>
      <c r="B630" s="11">
        <v>0.61199999999999999</v>
      </c>
      <c r="C630">
        <f t="shared" si="32"/>
        <v>-70.347394540942929</v>
      </c>
      <c r="D630" s="8">
        <f t="shared" si="31"/>
        <v>-91.96836389006495</v>
      </c>
      <c r="E630" s="8">
        <f t="shared" si="31"/>
        <v>-92.193227358940618</v>
      </c>
      <c r="F630" s="8">
        <f t="shared" si="31"/>
        <v>-170.38103723364037</v>
      </c>
      <c r="G630" s="8">
        <f t="shared" si="31"/>
        <v>-140.76207446728074</v>
      </c>
      <c r="H630" s="8">
        <f t="shared" si="31"/>
        <v>-81.524148934561453</v>
      </c>
    </row>
    <row r="631" spans="1:8" x14ac:dyDescent="0.2">
      <c r="A631" s="11"/>
      <c r="B631" s="11">
        <v>0.61299999999999999</v>
      </c>
      <c r="C631">
        <f t="shared" si="32"/>
        <v>-70.427774333539986</v>
      </c>
      <c r="D631" s="8">
        <f t="shared" si="31"/>
        <v>-92.148636188059925</v>
      </c>
      <c r="E631" s="8">
        <f t="shared" si="31"/>
        <v>-92.335968789928359</v>
      </c>
      <c r="F631" s="8">
        <f t="shared" si="31"/>
        <v>-170.45441957751146</v>
      </c>
      <c r="G631" s="8">
        <f t="shared" si="31"/>
        <v>-140.90883915502292</v>
      </c>
      <c r="H631" s="8">
        <f t="shared" si="31"/>
        <v>-81.817678310045849</v>
      </c>
    </row>
    <row r="632" spans="1:8" x14ac:dyDescent="0.2">
      <c r="A632" s="11"/>
      <c r="B632" s="11">
        <v>0.61399999999999999</v>
      </c>
      <c r="C632">
        <f t="shared" si="32"/>
        <v>-70.508054522924397</v>
      </c>
      <c r="D632" s="8">
        <f t="shared" si="31"/>
        <v>-92.328471546607858</v>
      </c>
      <c r="E632" s="8">
        <f t="shared" si="31"/>
        <v>-92.478378899449439</v>
      </c>
      <c r="F632" s="8">
        <f t="shared" si="31"/>
        <v>-170.52757480190985</v>
      </c>
      <c r="G632" s="8">
        <f t="shared" si="31"/>
        <v>-141.0551496038197</v>
      </c>
      <c r="H632" s="8">
        <f t="shared" si="31"/>
        <v>-82.110299207639429</v>
      </c>
    </row>
    <row r="633" spans="1:8" x14ac:dyDescent="0.2">
      <c r="A633" s="11"/>
      <c r="B633" s="11">
        <v>0.61499999999999999</v>
      </c>
      <c r="C633">
        <f t="shared" si="32"/>
        <v>-70.588235294117652</v>
      </c>
      <c r="D633" s="8">
        <f t="shared" si="31"/>
        <v>-92.507871339128982</v>
      </c>
      <c r="E633" s="8">
        <f t="shared" si="31"/>
        <v>-92.620458731234336</v>
      </c>
      <c r="F633" s="8">
        <f t="shared" si="31"/>
        <v>-170.60050374983956</v>
      </c>
      <c r="G633" s="8">
        <f t="shared" si="31"/>
        <v>-141.20100749967912</v>
      </c>
      <c r="H633" s="8">
        <f t="shared" si="31"/>
        <v>-82.402014999358215</v>
      </c>
    </row>
    <row r="634" spans="1:8" x14ac:dyDescent="0.2">
      <c r="A634" s="11"/>
      <c r="B634" s="11">
        <v>0.61599999999999999</v>
      </c>
      <c r="C634">
        <f t="shared" si="32"/>
        <v>-70.668316831683171</v>
      </c>
      <c r="D634" s="8">
        <f t="shared" si="31"/>
        <v>-92.686836933772739</v>
      </c>
      <c r="E634" s="8">
        <f t="shared" si="31"/>
        <v>-92.762209324947747</v>
      </c>
      <c r="F634" s="8">
        <f t="shared" si="31"/>
        <v>-170.67320726065626</v>
      </c>
      <c r="G634" s="8">
        <f t="shared" si="31"/>
        <v>-141.34641452131251</v>
      </c>
      <c r="H634" s="8">
        <f t="shared" si="31"/>
        <v>-82.692829042625007</v>
      </c>
    </row>
    <row r="635" spans="1:8" x14ac:dyDescent="0.2">
      <c r="A635" s="11"/>
      <c r="B635" s="11">
        <v>0.61699999999999999</v>
      </c>
      <c r="C635">
        <f t="shared" si="32"/>
        <v>-70.748299319727892</v>
      </c>
      <c r="D635" s="8">
        <f t="shared" si="31"/>
        <v>-92.865369693441806</v>
      </c>
      <c r="E635" s="8">
        <f t="shared" si="31"/>
        <v>-92.903631716207542</v>
      </c>
      <c r="F635" s="8">
        <f t="shared" si="31"/>
        <v>-170.74568617008546</v>
      </c>
      <c r="G635" s="8">
        <f t="shared" si="31"/>
        <v>-141.49137234017093</v>
      </c>
      <c r="H635" s="8">
        <f t="shared" si="31"/>
        <v>-82.982744680341867</v>
      </c>
    </row>
    <row r="636" spans="1:8" x14ac:dyDescent="0.2">
      <c r="A636" s="11"/>
      <c r="B636" s="11">
        <v>0.61799999999999999</v>
      </c>
      <c r="C636">
        <f t="shared" si="32"/>
        <v>-70.828182941903577</v>
      </c>
      <c r="D636" s="8">
        <f t="shared" si="31"/>
        <v>-93.043470975815723</v>
      </c>
      <c r="E636" s="8">
        <f t="shared" si="31"/>
        <v>-93.044726936603283</v>
      </c>
      <c r="F636" s="8">
        <f t="shared" si="31"/>
        <v>-170.81794131024049</v>
      </c>
      <c r="G636" s="8">
        <f t="shared" si="31"/>
        <v>-141.63588262048097</v>
      </c>
      <c r="H636" s="8">
        <f t="shared" si="31"/>
        <v>-83.27176524096194</v>
      </c>
    </row>
    <row r="637" spans="1:8" x14ac:dyDescent="0.2">
      <c r="A637" s="11"/>
      <c r="B637" s="11">
        <v>0.61899999999999999</v>
      </c>
      <c r="C637">
        <f t="shared" si="32"/>
        <v>-70.907967881408268</v>
      </c>
      <c r="D637" s="8">
        <f t="shared" si="31"/>
        <v>-93.221142133374599</v>
      </c>
      <c r="E637" s="8">
        <f t="shared" si="31"/>
        <v>-93.18549601371484</v>
      </c>
      <c r="F637" s="8">
        <f t="shared" si="31"/>
        <v>-170.88997350964016</v>
      </c>
      <c r="G637" s="8">
        <f t="shared" si="31"/>
        <v>-141.77994701928029</v>
      </c>
      <c r="H637" s="8">
        <f t="shared" si="31"/>
        <v>-83.559894038560586</v>
      </c>
    </row>
    <row r="638" spans="1:8" x14ac:dyDescent="0.2">
      <c r="A638" s="11"/>
      <c r="B638" s="11">
        <v>0.62</v>
      </c>
      <c r="C638">
        <f t="shared" si="32"/>
        <v>-70.987654320987673</v>
      </c>
      <c r="D638" s="8">
        <f t="shared" si="31"/>
        <v>-93.398384513422073</v>
      </c>
      <c r="E638" s="8">
        <f t="shared" si="31"/>
        <v>-93.325939971130467</v>
      </c>
      <c r="F638" s="8">
        <f t="shared" si="31"/>
        <v>-170.96178359322653</v>
      </c>
      <c r="G638" s="8">
        <f t="shared" si="31"/>
        <v>-141.92356718645308</v>
      </c>
      <c r="H638" s="8">
        <f t="shared" si="31"/>
        <v>-83.847134372906169</v>
      </c>
    </row>
    <row r="639" spans="1:8" x14ac:dyDescent="0.2">
      <c r="A639" s="11"/>
      <c r="B639" s="11">
        <v>0.621</v>
      </c>
      <c r="C639">
        <f t="shared" si="32"/>
        <v>-71.067242442936447</v>
      </c>
      <c r="D639" s="8">
        <f t="shared" si="31"/>
        <v>-93.57519945810904</v>
      </c>
      <c r="E639" s="8">
        <f t="shared" si="31"/>
        <v>-93.466059828465276</v>
      </c>
      <c r="F639" s="8">
        <f t="shared" si="31"/>
        <v>-171.03337238238271</v>
      </c>
      <c r="G639" s="8">
        <f t="shared" si="31"/>
        <v>-142.06674476476542</v>
      </c>
      <c r="H639" s="8">
        <f t="shared" si="31"/>
        <v>-84.133489529530806</v>
      </c>
    </row>
    <row r="640" spans="1:8" x14ac:dyDescent="0.2">
      <c r="A640" s="11"/>
      <c r="B640" s="11">
        <v>0.622</v>
      </c>
      <c r="C640">
        <f t="shared" si="32"/>
        <v>-71.14673242909987</v>
      </c>
      <c r="D640" s="8">
        <f t="shared" si="31"/>
        <v>-93.75158830445676</v>
      </c>
      <c r="E640" s="8">
        <f t="shared" si="31"/>
        <v>-93.605856601379529</v>
      </c>
      <c r="F640" s="8">
        <f t="shared" si="31"/>
        <v>-171.10474069495015</v>
      </c>
      <c r="G640" s="8">
        <f t="shared" si="31"/>
        <v>-142.2094813899003</v>
      </c>
      <c r="H640" s="8">
        <f t="shared" si="31"/>
        <v>-84.418962779800594</v>
      </c>
    </row>
    <row r="641" spans="1:8" x14ac:dyDescent="0.2">
      <c r="A641" s="11"/>
      <c r="B641" s="11">
        <v>0.623</v>
      </c>
      <c r="C641">
        <f t="shared" si="32"/>
        <v>-71.226124460874928</v>
      </c>
      <c r="D641" s="8">
        <f t="shared" si="31"/>
        <v>-93.927552384379879</v>
      </c>
      <c r="E641" s="8">
        <f t="shared" si="31"/>
        <v>-93.745331301596721</v>
      </c>
      <c r="F641" s="8">
        <f t="shared" si="31"/>
        <v>-171.17588934524633</v>
      </c>
      <c r="G641" s="8">
        <f t="shared" si="31"/>
        <v>-142.35177869049267</v>
      </c>
      <c r="H641" s="8">
        <f t="shared" si="31"/>
        <v>-84.703557380985359</v>
      </c>
    </row>
    <row r="642" spans="1:8" x14ac:dyDescent="0.2">
      <c r="A642" s="11"/>
      <c r="B642" s="11">
        <v>0.624</v>
      </c>
      <c r="C642">
        <f t="shared" si="32"/>
        <v>-71.305418719211843</v>
      </c>
      <c r="D642" s="8">
        <f t="shared" si="31"/>
        <v>-94.103093024709196</v>
      </c>
      <c r="E642" s="8">
        <f t="shared" si="31"/>
        <v>-93.884484936921211</v>
      </c>
      <c r="F642" s="8">
        <f t="shared" si="31"/>
        <v>-171.24681914408191</v>
      </c>
      <c r="G642" s="8">
        <f t="shared" si="31"/>
        <v>-142.49363828816382</v>
      </c>
      <c r="H642" s="8">
        <f t="shared" si="31"/>
        <v>-84.987276576327659</v>
      </c>
    </row>
    <row r="643" spans="1:8" x14ac:dyDescent="0.2">
      <c r="A643" s="11"/>
      <c r="B643" s="11">
        <v>0.625</v>
      </c>
      <c r="C643">
        <f t="shared" si="32"/>
        <v>-71.384615384615387</v>
      </c>
      <c r="D643" s="8">
        <f t="shared" si="31"/>
        <v>-94.278211547214738</v>
      </c>
      <c r="E643" s="8">
        <f t="shared" si="31"/>
        <v>-94.023318511256605</v>
      </c>
      <c r="F643" s="8">
        <f t="shared" si="31"/>
        <v>-171.31753089877805</v>
      </c>
      <c r="G643" s="8">
        <f t="shared" si="31"/>
        <v>-142.63506179755609</v>
      </c>
      <c r="H643" s="8">
        <f t="shared" si="31"/>
        <v>-85.27012359511221</v>
      </c>
    </row>
    <row r="644" spans="1:8" x14ac:dyDescent="0.2">
      <c r="A644" s="11"/>
      <c r="B644" s="11">
        <v>0.626</v>
      </c>
      <c r="C644">
        <f t="shared" si="32"/>
        <v>-71.463714637146353</v>
      </c>
      <c r="D644" s="8">
        <f t="shared" ref="D644:H694" si="33">$D$5+(D$6/(1+$B644))+(D$7/(1+$B644)^2)+(D$8/(1+$B644)^3)+(D$9/(1+$B644)^4)</f>
        <v>-94.452909268628417</v>
      </c>
      <c r="E644" s="8">
        <f t="shared" si="33"/>
        <v>-94.161833024623419</v>
      </c>
      <c r="F644" s="8">
        <f t="shared" si="33"/>
        <v>-171.38802541318358</v>
      </c>
      <c r="G644" s="8">
        <f t="shared" si="33"/>
        <v>-142.77605082636717</v>
      </c>
      <c r="H644" s="8">
        <f t="shared" si="33"/>
        <v>-85.552101652734351</v>
      </c>
    </row>
    <row r="645" spans="1:8" x14ac:dyDescent="0.2">
      <c r="A645" s="11"/>
      <c r="B645" s="11">
        <v>0.627</v>
      </c>
      <c r="C645">
        <f t="shared" si="32"/>
        <v>-71.542716656422868</v>
      </c>
      <c r="D645" s="8">
        <f t="shared" si="33"/>
        <v>-94.627187500666565</v>
      </c>
      <c r="E645" s="8">
        <f t="shared" si="33"/>
        <v>-94.300029473176693</v>
      </c>
      <c r="F645" s="8">
        <f t="shared" si="33"/>
        <v>-171.45830348769209</v>
      </c>
      <c r="G645" s="8">
        <f t="shared" si="33"/>
        <v>-142.91660697538418</v>
      </c>
      <c r="H645" s="8">
        <f t="shared" si="33"/>
        <v>-85.833213950768339</v>
      </c>
    </row>
    <row r="646" spans="1:8" x14ac:dyDescent="0.2">
      <c r="A646" s="11"/>
      <c r="B646" s="11">
        <v>0.628</v>
      </c>
      <c r="C646">
        <f t="shared" si="32"/>
        <v>-71.621621621621642</v>
      </c>
      <c r="D646" s="8">
        <f t="shared" si="33"/>
        <v>-94.801047550052402</v>
      </c>
      <c r="E646" s="8">
        <f t="shared" si="33"/>
        <v>-94.437908849223746</v>
      </c>
      <c r="F646" s="8">
        <f t="shared" si="33"/>
        <v>-171.52836591925873</v>
      </c>
      <c r="G646" s="8">
        <f t="shared" si="33"/>
        <v>-143.05673183851746</v>
      </c>
      <c r="H646" s="8">
        <f t="shared" si="33"/>
        <v>-86.113463677034929</v>
      </c>
    </row>
    <row r="647" spans="1:8" x14ac:dyDescent="0.2">
      <c r="A647" s="11"/>
      <c r="B647" s="11">
        <v>0.629</v>
      </c>
      <c r="C647">
        <f t="shared" si="32"/>
        <v>-71.700429711479444</v>
      </c>
      <c r="D647" s="8">
        <f t="shared" si="33"/>
        <v>-94.974490718538377</v>
      </c>
      <c r="E647" s="8">
        <f t="shared" si="33"/>
        <v>-94.57547214124159</v>
      </c>
      <c r="F647" s="8">
        <f t="shared" si="33"/>
        <v>-171.59821350141729</v>
      </c>
      <c r="G647" s="8">
        <f t="shared" si="33"/>
        <v>-143.19642700283458</v>
      </c>
      <c r="H647" s="8">
        <f t="shared" si="33"/>
        <v>-86.39285400566915</v>
      </c>
    </row>
    <row r="648" spans="1:8" x14ac:dyDescent="0.2">
      <c r="A648" s="11"/>
      <c r="B648" s="11">
        <v>0.63</v>
      </c>
      <c r="C648">
        <f t="shared" si="32"/>
        <v>-71.779141104294467</v>
      </c>
      <c r="D648" s="8">
        <f t="shared" si="33"/>
        <v>-95.147518302928518</v>
      </c>
      <c r="E648" s="8">
        <f t="shared" si="33"/>
        <v>-94.712720333894538</v>
      </c>
      <c r="F648" s="8">
        <f t="shared" si="33"/>
        <v>-171.66784702429686</v>
      </c>
      <c r="G648" s="8">
        <f t="shared" si="33"/>
        <v>-143.33569404859369</v>
      </c>
      <c r="H648" s="8">
        <f t="shared" si="33"/>
        <v>-86.671388097187389</v>
      </c>
    </row>
    <row r="649" spans="1:8" x14ac:dyDescent="0.2">
      <c r="A649" s="11"/>
      <c r="B649" s="11">
        <v>0.63100000000000001</v>
      </c>
      <c r="C649">
        <f t="shared" si="32"/>
        <v>-71.857755977927638</v>
      </c>
      <c r="D649" s="8">
        <f t="shared" si="33"/>
        <v>-95.320131595100506</v>
      </c>
      <c r="E649" s="8">
        <f t="shared" si="33"/>
        <v>-94.849654408051407</v>
      </c>
      <c r="F649" s="8">
        <f t="shared" si="33"/>
        <v>-171.7372672746385</v>
      </c>
      <c r="G649" s="8">
        <f t="shared" si="33"/>
        <v>-143.47453454927702</v>
      </c>
      <c r="H649" s="8">
        <f t="shared" si="33"/>
        <v>-86.949069098554034</v>
      </c>
    </row>
    <row r="650" spans="1:8" x14ac:dyDescent="0.2">
      <c r="A650" s="11"/>
      <c r="B650" s="11">
        <v>0.63200000000000001</v>
      </c>
      <c r="C650">
        <f t="shared" si="32"/>
        <v>-71.936274509803923</v>
      </c>
      <c r="D650" s="8">
        <f t="shared" si="33"/>
        <v>-95.492331882027628</v>
      </c>
      <c r="E650" s="8">
        <f t="shared" si="33"/>
        <v>-94.986275340802905</v>
      </c>
      <c r="F650" s="8">
        <f t="shared" si="33"/>
        <v>-171.80647503581196</v>
      </c>
      <c r="G650" s="8">
        <f t="shared" si="33"/>
        <v>-143.61295007162391</v>
      </c>
      <c r="H650" s="8">
        <f t="shared" si="33"/>
        <v>-87.225900143247813</v>
      </c>
    </row>
    <row r="651" spans="1:8" x14ac:dyDescent="0.2">
      <c r="A651" s="11"/>
      <c r="B651" s="11">
        <v>0.63300000000000001</v>
      </c>
      <c r="C651">
        <f t="shared" si="32"/>
        <v>-72.014696876913661</v>
      </c>
      <c r="D651" s="8">
        <f t="shared" si="33"/>
        <v>-95.664120445800719</v>
      </c>
      <c r="E651" s="8">
        <f t="shared" si="33"/>
        <v>-95.122584105478666</v>
      </c>
      <c r="F651" s="8">
        <f t="shared" si="33"/>
        <v>-171.87547108783195</v>
      </c>
      <c r="G651" s="8">
        <f t="shared" si="33"/>
        <v>-143.75094217566391</v>
      </c>
      <c r="H651" s="8">
        <f t="shared" si="33"/>
        <v>-87.501884351327789</v>
      </c>
    </row>
    <row r="652" spans="1:8" x14ac:dyDescent="0.2">
      <c r="A652" s="11"/>
      <c r="B652" s="11">
        <v>0.63400000000000001</v>
      </c>
      <c r="C652">
        <f t="shared" si="32"/>
        <v>-72.093023255813947</v>
      </c>
      <c r="D652" s="8">
        <f t="shared" si="33"/>
        <v>-95.835498563650049</v>
      </c>
      <c r="E652" s="8">
        <f t="shared" si="33"/>
        <v>-95.258581671664487</v>
      </c>
      <c r="F652" s="8">
        <f t="shared" si="33"/>
        <v>-171.94425620737482</v>
      </c>
      <c r="G652" s="8">
        <f t="shared" si="33"/>
        <v>-143.88851241474964</v>
      </c>
      <c r="H652" s="8">
        <f t="shared" si="33"/>
        <v>-87.777024829499268</v>
      </c>
    </row>
    <row r="653" spans="1:8" x14ac:dyDescent="0.2">
      <c r="A653" s="11"/>
      <c r="B653" s="11">
        <v>0.63500000000000001</v>
      </c>
      <c r="C653">
        <f t="shared" si="32"/>
        <v>-72.171253822629964</v>
      </c>
      <c r="D653" s="8">
        <f t="shared" si="33"/>
        <v>-96.006467507966931</v>
      </c>
      <c r="E653" s="8">
        <f t="shared" si="33"/>
        <v>-95.394269005219272</v>
      </c>
      <c r="F653" s="8">
        <f t="shared" si="33"/>
        <v>-172.0128311677947</v>
      </c>
      <c r="G653" s="8">
        <f t="shared" si="33"/>
        <v>-144.0256623355894</v>
      </c>
      <c r="H653" s="8">
        <f t="shared" si="33"/>
        <v>-88.051324671178804</v>
      </c>
    </row>
    <row r="654" spans="1:8" x14ac:dyDescent="0.2">
      <c r="A654" s="11"/>
      <c r="B654" s="11">
        <v>0.63600000000000001</v>
      </c>
      <c r="C654">
        <f t="shared" si="32"/>
        <v>-72.249388753056238</v>
      </c>
      <c r="D654" s="8">
        <f t="shared" si="33"/>
        <v>-96.177028546325175</v>
      </c>
      <c r="E654" s="8">
        <f t="shared" si="33"/>
        <v>-95.529647068291808</v>
      </c>
      <c r="F654" s="8">
        <f t="shared" si="33"/>
        <v>-172.08119673913978</v>
      </c>
      <c r="G654" s="8">
        <f t="shared" si="33"/>
        <v>-144.16239347827954</v>
      </c>
      <c r="H654" s="8">
        <f t="shared" si="33"/>
        <v>-88.324786956559095</v>
      </c>
    </row>
    <row r="655" spans="1:8" x14ac:dyDescent="0.2">
      <c r="A655" s="11"/>
      <c r="B655" s="11">
        <v>0.63700000000000001</v>
      </c>
      <c r="C655">
        <f t="shared" si="32"/>
        <v>-72.327428222357966</v>
      </c>
      <c r="D655" s="8">
        <f t="shared" si="33"/>
        <v>-96.347182941502666</v>
      </c>
      <c r="E655" s="8">
        <f t="shared" si="33"/>
        <v>-95.664716819337826</v>
      </c>
      <c r="F655" s="8">
        <f t="shared" si="33"/>
        <v>-172.14935368816842</v>
      </c>
      <c r="G655" s="8">
        <f t="shared" si="33"/>
        <v>-144.29870737633684</v>
      </c>
      <c r="H655" s="8">
        <f t="shared" si="33"/>
        <v>-88.597414752673672</v>
      </c>
    </row>
    <row r="656" spans="1:8" x14ac:dyDescent="0.2">
      <c r="A656" s="11"/>
      <c r="B656" s="11">
        <v>0.63800000000000001</v>
      </c>
      <c r="C656">
        <f t="shared" si="32"/>
        <v>-72.405372405372404</v>
      </c>
      <c r="D656" s="8">
        <f t="shared" si="33"/>
        <v>-96.516931951502841</v>
      </c>
      <c r="E656" s="8">
        <f t="shared" si="33"/>
        <v>-95.79947921313655</v>
      </c>
      <c r="F656" s="8">
        <f t="shared" si="33"/>
        <v>-172.21730277836531</v>
      </c>
      <c r="G656" s="8">
        <f t="shared" si="33"/>
        <v>-144.43460555673062</v>
      </c>
      <c r="H656" s="8">
        <f t="shared" si="33"/>
        <v>-88.869211113461219</v>
      </c>
    </row>
    <row r="657" spans="1:8" x14ac:dyDescent="0.2">
      <c r="A657" s="11"/>
      <c r="B657" s="11">
        <v>0.63900000000000001</v>
      </c>
      <c r="C657">
        <f t="shared" si="32"/>
        <v>-72.483221476510067</v>
      </c>
      <c r="D657" s="8">
        <f t="shared" si="33"/>
        <v>-96.686276829575647</v>
      </c>
      <c r="E657" s="8">
        <f t="shared" si="33"/>
        <v>-95.93393520080734</v>
      </c>
      <c r="F657" s="8">
        <f t="shared" si="33"/>
        <v>-172.2850447699573</v>
      </c>
      <c r="G657" s="8">
        <f t="shared" si="33"/>
        <v>-144.57008953991459</v>
      </c>
      <c r="H657" s="8">
        <f t="shared" si="33"/>
        <v>-89.140179079829196</v>
      </c>
    </row>
    <row r="658" spans="1:8" x14ac:dyDescent="0.2">
      <c r="A658" s="11"/>
      <c r="B658" s="11">
        <v>0.64</v>
      </c>
      <c r="C658">
        <f t="shared" si="32"/>
        <v>-72.560975609756113</v>
      </c>
      <c r="D658" s="8">
        <f t="shared" si="33"/>
        <v>-96.855218824238875</v>
      </c>
      <c r="E658" s="8">
        <f t="shared" si="33"/>
        <v>-96.068085729826436</v>
      </c>
      <c r="F658" s="8">
        <f t="shared" si="33"/>
        <v>-172.35258041992938</v>
      </c>
      <c r="G658" s="8">
        <f t="shared" si="33"/>
        <v>-144.70516083985873</v>
      </c>
      <c r="H658" s="8">
        <f t="shared" si="33"/>
        <v>-89.41032167971747</v>
      </c>
    </row>
    <row r="659" spans="1:8" x14ac:dyDescent="0.2">
      <c r="A659" s="11"/>
      <c r="B659" s="11">
        <v>0.64100000000000001</v>
      </c>
      <c r="C659">
        <f t="shared" si="32"/>
        <v>-72.638634978671547</v>
      </c>
      <c r="D659" s="8">
        <f t="shared" si="33"/>
        <v>-97.023759179299063</v>
      </c>
      <c r="E659" s="8">
        <f t="shared" si="33"/>
        <v>-96.201931744043108</v>
      </c>
      <c r="F659" s="8">
        <f t="shared" si="33"/>
        <v>-172.41991048204034</v>
      </c>
      <c r="G659" s="8">
        <f t="shared" si="33"/>
        <v>-144.83982096408067</v>
      </c>
      <c r="H659" s="8">
        <f t="shared" si="33"/>
        <v>-89.679641928161345</v>
      </c>
    </row>
    <row r="660" spans="1:8" x14ac:dyDescent="0.2">
      <c r="A660" s="11"/>
      <c r="B660" s="11">
        <v>0.64200000000000002</v>
      </c>
      <c r="C660">
        <f t="shared" ref="C660:C723" si="34">$C$5+$C$6/(1+$B660)</f>
        <v>-72.71619975639463</v>
      </c>
      <c r="D660" s="8">
        <f t="shared" si="33"/>
        <v>-97.191899133872511</v>
      </c>
      <c r="E660" s="8">
        <f t="shared" si="33"/>
        <v>-96.335474183696405</v>
      </c>
      <c r="F660" s="8">
        <f t="shared" si="33"/>
        <v>-172.48703570683867</v>
      </c>
      <c r="G660" s="8">
        <f t="shared" si="33"/>
        <v>-144.97407141367734</v>
      </c>
      <c r="H660" s="8">
        <f t="shared" si="33"/>
        <v>-89.948142827354673</v>
      </c>
    </row>
    <row r="661" spans="1:8" x14ac:dyDescent="0.2">
      <c r="A661" s="11"/>
      <c r="B661" s="11">
        <v>0.64300000000000002</v>
      </c>
      <c r="C661">
        <f t="shared" si="34"/>
        <v>-72.793670115642115</v>
      </c>
      <c r="D661" s="8">
        <f t="shared" si="33"/>
        <v>-97.359639922406188</v>
      </c>
      <c r="E661" s="8">
        <f t="shared" si="33"/>
        <v>-96.468713985431322</v>
      </c>
      <c r="F661" s="8">
        <f t="shared" si="33"/>
        <v>-172.55395684167803</v>
      </c>
      <c r="G661" s="8">
        <f t="shared" si="33"/>
        <v>-145.10791368335606</v>
      </c>
      <c r="H661" s="8">
        <f t="shared" si="33"/>
        <v>-90.215827366712148</v>
      </c>
    </row>
    <row r="662" spans="1:8" x14ac:dyDescent="0.2">
      <c r="A662" s="11"/>
      <c r="B662" s="11">
        <v>0.64400000000000002</v>
      </c>
      <c r="C662">
        <f t="shared" si="34"/>
        <v>-72.871046228710469</v>
      </c>
      <c r="D662" s="8">
        <f t="shared" si="33"/>
        <v>-97.526982774698041</v>
      </c>
      <c r="E662" s="8">
        <f t="shared" si="33"/>
        <v>-96.601652082314757</v>
      </c>
      <c r="F662" s="8">
        <f t="shared" si="33"/>
        <v>-172.62067463073279</v>
      </c>
      <c r="G662" s="8">
        <f t="shared" si="33"/>
        <v>-145.24134926146561</v>
      </c>
      <c r="H662" s="8">
        <f t="shared" si="33"/>
        <v>-90.482698522931216</v>
      </c>
    </row>
    <row r="663" spans="1:8" x14ac:dyDescent="0.2">
      <c r="A663" s="11"/>
      <c r="B663" s="11">
        <v>0.64500000000000002</v>
      </c>
      <c r="C663">
        <f t="shared" si="34"/>
        <v>-72.948328267477208</v>
      </c>
      <c r="D663" s="8">
        <f t="shared" si="33"/>
        <v>-97.693928915918008</v>
      </c>
      <c r="E663" s="8">
        <f t="shared" si="33"/>
        <v>-96.734289403852046</v>
      </c>
      <c r="F663" s="8">
        <f t="shared" si="33"/>
        <v>-172.68718981501354</v>
      </c>
      <c r="G663" s="8">
        <f t="shared" si="33"/>
        <v>-145.37437963002708</v>
      </c>
      <c r="H663" s="8">
        <f t="shared" si="33"/>
        <v>-90.748759260054186</v>
      </c>
    </row>
    <row r="664" spans="1:8" x14ac:dyDescent="0.2">
      <c r="A664" s="11"/>
      <c r="B664" s="11">
        <v>0.64600000000000002</v>
      </c>
      <c r="C664">
        <f t="shared" si="34"/>
        <v>-73.025516403402179</v>
      </c>
      <c r="D664" s="8">
        <f t="shared" si="33"/>
        <v>-97.860479566628342</v>
      </c>
      <c r="E664" s="8">
        <f t="shared" si="33"/>
        <v>-96.866626876002798</v>
      </c>
      <c r="F664" s="8">
        <f t="shared" si="33"/>
        <v>-172.75350313238241</v>
      </c>
      <c r="G664" s="8">
        <f t="shared" si="33"/>
        <v>-145.50700626476481</v>
      </c>
      <c r="H664" s="8">
        <f t="shared" si="33"/>
        <v>-91.014012529529623</v>
      </c>
    </row>
    <row r="665" spans="1:8" x14ac:dyDescent="0.2">
      <c r="A665" s="11"/>
      <c r="B665" s="11">
        <v>0.64700000000000002</v>
      </c>
      <c r="C665">
        <f t="shared" si="34"/>
        <v>-73.102610807528848</v>
      </c>
      <c r="D665" s="8">
        <f t="shared" si="33"/>
        <v>-98.02663594280402</v>
      </c>
      <c r="E665" s="8">
        <f t="shared" si="33"/>
        <v>-96.998665421196961</v>
      </c>
      <c r="F665" s="8">
        <f t="shared" si="33"/>
        <v>-172.81961531756835</v>
      </c>
      <c r="G665" s="8">
        <f t="shared" si="33"/>
        <v>-145.6392306351367</v>
      </c>
      <c r="H665" s="8">
        <f t="shared" si="33"/>
        <v>-91.278461270273397</v>
      </c>
    </row>
    <row r="666" spans="1:8" x14ac:dyDescent="0.2">
      <c r="A666" s="11"/>
      <c r="B666" s="11">
        <v>0.64800000000000002</v>
      </c>
      <c r="C666">
        <f t="shared" si="34"/>
        <v>-73.179611650485441</v>
      </c>
      <c r="D666" s="8">
        <f t="shared" si="33"/>
        <v>-98.192399255853047</v>
      </c>
      <c r="E666" s="8">
        <f t="shared" si="33"/>
        <v>-97.130405958350536</v>
      </c>
      <c r="F666" s="8">
        <f t="shared" si="33"/>
        <v>-172.88552710218235</v>
      </c>
      <c r="G666" s="8">
        <f t="shared" si="33"/>
        <v>-145.7710542043647</v>
      </c>
      <c r="H666" s="8">
        <f t="shared" si="33"/>
        <v>-91.542108408729419</v>
      </c>
    </row>
    <row r="667" spans="1:8" x14ac:dyDescent="0.2">
      <c r="A667" s="11"/>
      <c r="B667" s="11">
        <v>0.64900000000000002</v>
      </c>
      <c r="C667">
        <f t="shared" si="34"/>
        <v>-73.256519102486351</v>
      </c>
      <c r="D667" s="8">
        <f t="shared" si="33"/>
        <v>-98.357770712636466</v>
      </c>
      <c r="E667" s="8">
        <f t="shared" si="33"/>
        <v>-97.261849402881538</v>
      </c>
      <c r="F667" s="8">
        <f t="shared" si="33"/>
        <v>-172.95123921473254</v>
      </c>
      <c r="G667" s="8">
        <f t="shared" si="33"/>
        <v>-145.90247842946505</v>
      </c>
      <c r="H667" s="8">
        <f t="shared" si="33"/>
        <v>-91.804956858930112</v>
      </c>
    </row>
    <row r="668" spans="1:8" x14ac:dyDescent="0.2">
      <c r="A668" s="11"/>
      <c r="B668" s="11">
        <v>0.65</v>
      </c>
      <c r="C668">
        <f t="shared" si="34"/>
        <v>-73.333333333333329</v>
      </c>
      <c r="D668" s="8">
        <f t="shared" si="33"/>
        <v>-98.522751515488778</v>
      </c>
      <c r="E668" s="8">
        <f t="shared" si="33"/>
        <v>-97.392996666725665</v>
      </c>
      <c r="F668" s="8">
        <f t="shared" si="33"/>
        <v>-173.01675238063916</v>
      </c>
      <c r="G668" s="8">
        <f t="shared" si="33"/>
        <v>-146.03350476127835</v>
      </c>
      <c r="H668" s="8">
        <f t="shared" si="33"/>
        <v>-92.067009522556702</v>
      </c>
    </row>
    <row r="669" spans="1:8" x14ac:dyDescent="0.2">
      <c r="A669" s="11"/>
      <c r="B669" s="11">
        <v>0.65100000000000002</v>
      </c>
      <c r="C669">
        <f t="shared" si="34"/>
        <v>-73.410054512416721</v>
      </c>
      <c r="D669" s="8">
        <f t="shared" si="33"/>
        <v>-98.687342862237742</v>
      </c>
      <c r="E669" s="8">
        <f t="shared" si="33"/>
        <v>-97.523848658352051</v>
      </c>
      <c r="F669" s="8">
        <f t="shared" si="33"/>
        <v>-173.08206732224971</v>
      </c>
      <c r="G669" s="8">
        <f t="shared" si="33"/>
        <v>-146.16413464449946</v>
      </c>
      <c r="H669" s="8">
        <f t="shared" si="33"/>
        <v>-92.328269288998911</v>
      </c>
    </row>
    <row r="670" spans="1:8" x14ac:dyDescent="0.2">
      <c r="A670" s="11"/>
      <c r="B670" s="11">
        <v>0.65200000000000002</v>
      </c>
      <c r="C670">
        <f t="shared" si="34"/>
        <v>-73.486682808716722</v>
      </c>
      <c r="D670" s="8">
        <f t="shared" si="33"/>
        <v>-98.851545946224135</v>
      </c>
      <c r="E670" s="8">
        <f t="shared" si="33"/>
        <v>-97.654406282778595</v>
      </c>
      <c r="F670" s="8">
        <f t="shared" si="33"/>
        <v>-173.14718475885354</v>
      </c>
      <c r="G670" s="8">
        <f t="shared" si="33"/>
        <v>-146.29436951770711</v>
      </c>
      <c r="H670" s="8">
        <f t="shared" si="33"/>
        <v>-92.588739035414207</v>
      </c>
    </row>
    <row r="671" spans="1:8" x14ac:dyDescent="0.2">
      <c r="A671" s="11"/>
      <c r="B671" s="11">
        <v>0.65300000000000002</v>
      </c>
      <c r="C671">
        <f t="shared" si="34"/>
        <v>-73.563218390804593</v>
      </c>
      <c r="D671" s="8">
        <f t="shared" si="33"/>
        <v>-99.015361956321584</v>
      </c>
      <c r="E671" s="8">
        <f t="shared" si="33"/>
        <v>-97.784670441587565</v>
      </c>
      <c r="F671" s="8">
        <f t="shared" si="33"/>
        <v>-173.21210540669682</v>
      </c>
      <c r="G671" s="8">
        <f t="shared" si="33"/>
        <v>-146.42421081339364</v>
      </c>
      <c r="H671" s="8">
        <f t="shared" si="33"/>
        <v>-92.848421626787257</v>
      </c>
    </row>
    <row r="672" spans="1:8" x14ac:dyDescent="0.2">
      <c r="A672" s="11"/>
      <c r="B672" s="11">
        <v>0.65400000000000003</v>
      </c>
      <c r="C672">
        <f t="shared" si="34"/>
        <v>-73.639661426844015</v>
      </c>
      <c r="D672" s="8">
        <f t="shared" si="33"/>
        <v>-99.178792076956483</v>
      </c>
      <c r="E672" s="8">
        <f t="shared" si="33"/>
        <v>-97.914642032941018</v>
      </c>
      <c r="F672" s="8">
        <f t="shared" si="33"/>
        <v>-173.27682997899717</v>
      </c>
      <c r="G672" s="8">
        <f t="shared" si="33"/>
        <v>-146.55365995799434</v>
      </c>
      <c r="H672" s="8">
        <f t="shared" si="33"/>
        <v>-93.107319915988654</v>
      </c>
    </row>
    <row r="673" spans="1:8" x14ac:dyDescent="0.2">
      <c r="A673" s="11"/>
      <c r="B673" s="11">
        <v>0.65500000000000003</v>
      </c>
      <c r="C673">
        <f t="shared" si="34"/>
        <v>-73.716012084592151</v>
      </c>
      <c r="D673" s="8">
        <f t="shared" si="33"/>
        <v>-99.341837488127354</v>
      </c>
      <c r="E673" s="8">
        <f t="shared" si="33"/>
        <v>-98.044321951596217</v>
      </c>
      <c r="F673" s="8">
        <f t="shared" si="33"/>
        <v>-173.34135918595837</v>
      </c>
      <c r="G673" s="8">
        <f t="shared" si="33"/>
        <v>-146.68271837191674</v>
      </c>
      <c r="H673" s="8">
        <f t="shared" si="33"/>
        <v>-93.36543674383347</v>
      </c>
    </row>
    <row r="674" spans="1:8" x14ac:dyDescent="0.2">
      <c r="A674" s="11"/>
      <c r="B674" s="11">
        <v>0.65600000000000003</v>
      </c>
      <c r="C674">
        <f t="shared" si="34"/>
        <v>-73.792270531400973</v>
      </c>
      <c r="D674" s="8">
        <f t="shared" si="33"/>
        <v>-99.504499365424238</v>
      </c>
      <c r="E674" s="8">
        <f t="shared" si="33"/>
        <v>-98.173711088920626</v>
      </c>
      <c r="F674" s="8">
        <f t="shared" si="33"/>
        <v>-173.40569373478479</v>
      </c>
      <c r="G674" s="8">
        <f t="shared" si="33"/>
        <v>-146.81138746956958</v>
      </c>
      <c r="H674" s="8">
        <f t="shared" si="33"/>
        <v>-93.622774939139163</v>
      </c>
    </row>
    <row r="675" spans="1:8" x14ac:dyDescent="0.2">
      <c r="A675" s="11"/>
      <c r="B675" s="11">
        <v>0.65700000000000003</v>
      </c>
      <c r="C675">
        <f t="shared" si="34"/>
        <v>-73.868436934218465</v>
      </c>
      <c r="D675" s="8">
        <f t="shared" si="33"/>
        <v>-99.66677888004827</v>
      </c>
      <c r="E675" s="8">
        <f t="shared" si="33"/>
        <v>-98.302810332907143</v>
      </c>
      <c r="F675" s="8">
        <f t="shared" si="33"/>
        <v>-173.46983432969597</v>
      </c>
      <c r="G675" s="8">
        <f t="shared" si="33"/>
        <v>-146.93966865939191</v>
      </c>
      <c r="H675" s="8">
        <f t="shared" si="33"/>
        <v>-93.879337318783826</v>
      </c>
    </row>
    <row r="676" spans="1:8" x14ac:dyDescent="0.2">
      <c r="A676" s="11"/>
      <c r="B676" s="11">
        <v>0.65800000000000003</v>
      </c>
      <c r="C676">
        <f t="shared" si="34"/>
        <v>-73.944511459589862</v>
      </c>
      <c r="D676" s="8">
        <f t="shared" si="33"/>
        <v>-99.828677198830917</v>
      </c>
      <c r="E676" s="8">
        <f t="shared" si="33"/>
        <v>-98.431620568189459</v>
      </c>
      <c r="F676" s="8">
        <f t="shared" si="33"/>
        <v>-173.53378167194089</v>
      </c>
      <c r="G676" s="8">
        <f t="shared" si="33"/>
        <v>-147.06756334388177</v>
      </c>
      <c r="H676" s="8">
        <f t="shared" si="33"/>
        <v>-94.135126687763517</v>
      </c>
    </row>
    <row r="677" spans="1:8" x14ac:dyDescent="0.2">
      <c r="A677" s="11"/>
      <c r="B677" s="11">
        <v>0.65900000000000003</v>
      </c>
      <c r="C677">
        <f t="shared" si="34"/>
        <v>-74.020494273658827</v>
      </c>
      <c r="D677" s="8">
        <f t="shared" si="33"/>
        <v>-99.990195484253192</v>
      </c>
      <c r="E677" s="8">
        <f t="shared" si="33"/>
        <v>-98.560142676056728</v>
      </c>
      <c r="F677" s="8">
        <f t="shared" si="33"/>
        <v>-173.59753645981243</v>
      </c>
      <c r="G677" s="8">
        <f t="shared" si="33"/>
        <v>-147.19507291962486</v>
      </c>
      <c r="H677" s="8">
        <f t="shared" si="33"/>
        <v>-94.390145839249726</v>
      </c>
    </row>
    <row r="678" spans="1:8" x14ac:dyDescent="0.2">
      <c r="A678" s="11"/>
      <c r="B678" s="11">
        <v>0.66</v>
      </c>
      <c r="C678">
        <f t="shared" si="34"/>
        <v>-74.09638554216869</v>
      </c>
      <c r="D678" s="8">
        <f t="shared" si="33"/>
        <v>-100.15133489446457</v>
      </c>
      <c r="E678" s="8">
        <f t="shared" si="33"/>
        <v>-98.688377534468628</v>
      </c>
      <c r="F678" s="8">
        <f t="shared" si="33"/>
        <v>-173.66109938866148</v>
      </c>
      <c r="G678" s="8">
        <f t="shared" si="33"/>
        <v>-147.32219877732297</v>
      </c>
      <c r="H678" s="8">
        <f t="shared" si="33"/>
        <v>-94.64439755464592</v>
      </c>
    </row>
    <row r="679" spans="1:8" x14ac:dyDescent="0.2">
      <c r="A679" s="11"/>
      <c r="B679" s="11">
        <v>0.66100000000000003</v>
      </c>
      <c r="C679">
        <f t="shared" si="34"/>
        <v>-74.172185430463585</v>
      </c>
      <c r="D679" s="8">
        <f t="shared" si="33"/>
        <v>-100.31209658330212</v>
      </c>
      <c r="E679" s="8">
        <f t="shared" si="33"/>
        <v>-98.8163260180702</v>
      </c>
      <c r="F679" s="8">
        <f t="shared" si="33"/>
        <v>-173.72447115091111</v>
      </c>
      <c r="G679" s="8">
        <f t="shared" si="33"/>
        <v>-147.44894230182223</v>
      </c>
      <c r="H679" s="8">
        <f t="shared" si="33"/>
        <v>-94.897884603644457</v>
      </c>
    </row>
    <row r="680" spans="1:8" x14ac:dyDescent="0.2">
      <c r="A680" s="11"/>
      <c r="B680" s="11">
        <v>0.66200000000000003</v>
      </c>
      <c r="C680">
        <f t="shared" si="34"/>
        <v>-74.24789410348977</v>
      </c>
      <c r="D680" s="8">
        <f t="shared" si="33"/>
        <v>-100.47248170030949</v>
      </c>
      <c r="E680" s="8">
        <f t="shared" si="33"/>
        <v>-98.943988998206692</v>
      </c>
      <c r="F680" s="8">
        <f t="shared" si="33"/>
        <v>-173.78765243607074</v>
      </c>
      <c r="G680" s="8">
        <f t="shared" si="33"/>
        <v>-147.57530487214149</v>
      </c>
      <c r="H680" s="8">
        <f t="shared" si="33"/>
        <v>-95.15060974428296</v>
      </c>
    </row>
    <row r="681" spans="1:8" x14ac:dyDescent="0.2">
      <c r="A681" s="11"/>
      <c r="B681" s="11">
        <v>0.66300000000000003</v>
      </c>
      <c r="C681">
        <f t="shared" si="34"/>
        <v>-74.323511725796749</v>
      </c>
      <c r="D681" s="8">
        <f t="shared" si="33"/>
        <v>-100.63249139075548</v>
      </c>
      <c r="E681" s="8">
        <f t="shared" si="33"/>
        <v>-99.071367342938203</v>
      </c>
      <c r="F681" s="8">
        <f t="shared" si="33"/>
        <v>-173.85064393075004</v>
      </c>
      <c r="G681" s="8">
        <f t="shared" si="33"/>
        <v>-147.70128786150008</v>
      </c>
      <c r="H681" s="8">
        <f t="shared" si="33"/>
        <v>-95.402575723000183</v>
      </c>
    </row>
    <row r="682" spans="1:8" x14ac:dyDescent="0.2">
      <c r="A682" s="11"/>
      <c r="B682" s="11">
        <v>0.66400000000000003</v>
      </c>
      <c r="C682">
        <f t="shared" si="34"/>
        <v>-74.399038461538467</v>
      </c>
      <c r="D682" s="8">
        <f t="shared" si="33"/>
        <v>-100.79212679565302</v>
      </c>
      <c r="E682" s="8">
        <f t="shared" si="33"/>
        <v>-99.198461917054345</v>
      </c>
      <c r="F682" s="8">
        <f t="shared" si="33"/>
        <v>-173.91344631867292</v>
      </c>
      <c r="G682" s="8">
        <f t="shared" si="33"/>
        <v>-147.82689263734585</v>
      </c>
      <c r="H682" s="8">
        <f t="shared" si="33"/>
        <v>-95.653785274691714</v>
      </c>
    </row>
    <row r="683" spans="1:8" x14ac:dyDescent="0.2">
      <c r="A683" s="11"/>
      <c r="B683" s="11">
        <v>0.66500000000000004</v>
      </c>
      <c r="C683">
        <f t="shared" si="34"/>
        <v>-74.474474474474476</v>
      </c>
      <c r="D683" s="8">
        <f t="shared" si="33"/>
        <v>-100.95138905177743</v>
      </c>
      <c r="E683" s="8">
        <f t="shared" si="33"/>
        <v>-99.325273582088613</v>
      </c>
      <c r="F683" s="8">
        <f t="shared" si="33"/>
        <v>-173.97606028069134</v>
      </c>
      <c r="G683" s="8">
        <f t="shared" si="33"/>
        <v>-147.95212056138269</v>
      </c>
      <c r="H683" s="8">
        <f t="shared" si="33"/>
        <v>-95.904241122765399</v>
      </c>
    </row>
    <row r="684" spans="1:8" x14ac:dyDescent="0.2">
      <c r="A684" s="11"/>
      <c r="B684" s="11">
        <v>0.66600000000000004</v>
      </c>
      <c r="C684">
        <f t="shared" si="34"/>
        <v>-74.549819927971186</v>
      </c>
      <c r="D684" s="8">
        <f t="shared" si="33"/>
        <v>-101.11027929168533</v>
      </c>
      <c r="E684" s="8">
        <f t="shared" si="33"/>
        <v>-99.451803196333302</v>
      </c>
      <c r="F684" s="8">
        <f t="shared" si="33"/>
        <v>-174.03848649479914</v>
      </c>
      <c r="G684" s="8">
        <f t="shared" si="33"/>
        <v>-148.07697298959832</v>
      </c>
      <c r="H684" s="8">
        <f t="shared" si="33"/>
        <v>-96.153945979196635</v>
      </c>
    </row>
    <row r="685" spans="1:8" x14ac:dyDescent="0.2">
      <c r="A685" s="11"/>
      <c r="B685" s="11">
        <v>0.66700000000000004</v>
      </c>
      <c r="C685">
        <f t="shared" si="34"/>
        <v>-74.625074985002996</v>
      </c>
      <c r="D685" s="8">
        <f t="shared" si="33"/>
        <v>-101.26879864373291</v>
      </c>
      <c r="E685" s="8">
        <f t="shared" si="33"/>
        <v>-99.578051614853393</v>
      </c>
      <c r="F685" s="8">
        <f t="shared" si="33"/>
        <v>-174.10072563614574</v>
      </c>
      <c r="G685" s="8">
        <f t="shared" si="33"/>
        <v>-148.20145127229148</v>
      </c>
      <c r="H685" s="8">
        <f t="shared" si="33"/>
        <v>-96.402902544582986</v>
      </c>
    </row>
    <row r="686" spans="1:8" x14ac:dyDescent="0.2">
      <c r="A686" s="11"/>
      <c r="B686" s="11">
        <v>0.66800000000000004</v>
      </c>
      <c r="C686">
        <f t="shared" si="34"/>
        <v>-74.700239808153484</v>
      </c>
      <c r="D686" s="8">
        <f t="shared" si="33"/>
        <v>-101.42694823209409</v>
      </c>
      <c r="E686" s="8">
        <f t="shared" si="33"/>
        <v>-99.704019689501266</v>
      </c>
      <c r="F686" s="8">
        <f t="shared" si="33"/>
        <v>-174.1627783770497</v>
      </c>
      <c r="G686" s="8">
        <f t="shared" si="33"/>
        <v>-148.32555675409941</v>
      </c>
      <c r="H686" s="8">
        <f t="shared" si="33"/>
        <v>-96.65111350819879</v>
      </c>
    </row>
    <row r="687" spans="1:8" x14ac:dyDescent="0.2">
      <c r="A687" s="11"/>
      <c r="B687" s="11">
        <v>0.66900000000000004</v>
      </c>
      <c r="C687">
        <f t="shared" si="34"/>
        <v>-74.775314559616547</v>
      </c>
      <c r="D687" s="8">
        <f t="shared" si="33"/>
        <v>-101.58472917677898</v>
      </c>
      <c r="E687" s="8">
        <f t="shared" si="33"/>
        <v>-99.829708268930659</v>
      </c>
      <c r="F687" s="8">
        <f t="shared" si="33"/>
        <v>-174.22464538701229</v>
      </c>
      <c r="G687" s="8">
        <f t="shared" si="33"/>
        <v>-148.44929077402458</v>
      </c>
      <c r="H687" s="8">
        <f t="shared" si="33"/>
        <v>-96.898581548049151</v>
      </c>
    </row>
    <row r="688" spans="1:8" x14ac:dyDescent="0.2">
      <c r="A688" s="11"/>
      <c r="B688" s="11">
        <v>0.67</v>
      </c>
      <c r="C688">
        <f t="shared" si="34"/>
        <v>-74.850299401197603</v>
      </c>
      <c r="D688" s="8">
        <f t="shared" si="33"/>
        <v>-101.7421425936521</v>
      </c>
      <c r="E688" s="8">
        <f t="shared" si="33"/>
        <v>-99.955118198611274</v>
      </c>
      <c r="F688" s="8">
        <f t="shared" si="33"/>
        <v>-174.2863273327311</v>
      </c>
      <c r="G688" s="8">
        <f t="shared" si="33"/>
        <v>-148.57265466546221</v>
      </c>
      <c r="H688" s="8">
        <f t="shared" si="33"/>
        <v>-97.145309330924434</v>
      </c>
    </row>
    <row r="689" spans="1:8" x14ac:dyDescent="0.2">
      <c r="A689" s="11"/>
      <c r="B689" s="11">
        <v>0.67100000000000004</v>
      </c>
      <c r="C689">
        <f t="shared" si="34"/>
        <v>-74.925194494314781</v>
      </c>
      <c r="D689" s="8">
        <f t="shared" si="33"/>
        <v>-101.89918959445012</v>
      </c>
      <c r="E689" s="8">
        <f t="shared" si="33"/>
        <v>-100.08025032084241</v>
      </c>
      <c r="F689" s="8">
        <f t="shared" si="33"/>
        <v>-174.34782487811333</v>
      </c>
      <c r="G689" s="8">
        <f t="shared" si="33"/>
        <v>-148.69564975622666</v>
      </c>
      <c r="H689" s="8">
        <f t="shared" si="33"/>
        <v>-97.391299512453315</v>
      </c>
    </row>
    <row r="690" spans="1:8" x14ac:dyDescent="0.2">
      <c r="A690" s="11"/>
      <c r="B690" s="11">
        <v>0.67200000000000004</v>
      </c>
      <c r="C690">
        <f t="shared" si="34"/>
        <v>-75.000000000000014</v>
      </c>
      <c r="D690" s="8">
        <f t="shared" si="33"/>
        <v>-102.05587128680013</v>
      </c>
      <c r="E690" s="8">
        <f t="shared" si="33"/>
        <v>-100.20510547476728</v>
      </c>
      <c r="F690" s="8">
        <f t="shared" si="33"/>
        <v>-174.4091386842891</v>
      </c>
      <c r="G690" s="8">
        <f t="shared" si="33"/>
        <v>-148.81827736857821</v>
      </c>
      <c r="H690" s="8">
        <f t="shared" si="33"/>
        <v>-97.636554737156445</v>
      </c>
    </row>
    <row r="691" spans="1:8" x14ac:dyDescent="0.2">
      <c r="A691" s="11"/>
      <c r="B691" s="11">
        <v>0.67300000000000004</v>
      </c>
      <c r="C691">
        <f t="shared" si="34"/>
        <v>-75.074716078900181</v>
      </c>
      <c r="D691" s="8">
        <f t="shared" si="33"/>
        <v>-102.2121887742374</v>
      </c>
      <c r="E691" s="8">
        <f t="shared" si="33"/>
        <v>-100.32968449638696</v>
      </c>
      <c r="F691" s="8">
        <f t="shared" si="33"/>
        <v>-174.47026940962485</v>
      </c>
      <c r="G691" s="8">
        <f t="shared" si="33"/>
        <v>-148.94053881924972</v>
      </c>
      <c r="H691" s="8">
        <f t="shared" si="33"/>
        <v>-97.881077638499434</v>
      </c>
    </row>
    <row r="692" spans="1:8" x14ac:dyDescent="0.2">
      <c r="A692" s="11"/>
      <c r="B692" s="11">
        <v>0.67400000000000004</v>
      </c>
      <c r="C692">
        <f t="shared" si="34"/>
        <v>-75.149342891278366</v>
      </c>
      <c r="D692" s="8">
        <f t="shared" si="33"/>
        <v>-102.36814315622317</v>
      </c>
      <c r="E692" s="8">
        <f t="shared" si="33"/>
        <v>-100.45398821857427</v>
      </c>
      <c r="F692" s="8">
        <f t="shared" si="33"/>
        <v>-174.53121770973641</v>
      </c>
      <c r="G692" s="8">
        <f t="shared" si="33"/>
        <v>-149.06243541947285</v>
      </c>
      <c r="H692" s="8">
        <f t="shared" si="33"/>
        <v>-98.124870838945682</v>
      </c>
    </row>
    <row r="693" spans="1:8" x14ac:dyDescent="0.2">
      <c r="A693" s="11"/>
      <c r="B693" s="11">
        <v>0.67500000000000004</v>
      </c>
      <c r="C693">
        <f t="shared" si="34"/>
        <v>-75.223880597014926</v>
      </c>
      <c r="D693" s="8">
        <f t="shared" si="33"/>
        <v>-102.52373552816243</v>
      </c>
      <c r="E693" s="8">
        <f t="shared" si="33"/>
        <v>-100.57801747108761</v>
      </c>
      <c r="F693" s="8">
        <f t="shared" si="33"/>
        <v>-174.59198423750223</v>
      </c>
      <c r="G693" s="8">
        <f t="shared" si="33"/>
        <v>-149.18396847500443</v>
      </c>
      <c r="H693" s="8">
        <f t="shared" si="33"/>
        <v>-98.367936950008882</v>
      </c>
    </row>
    <row r="694" spans="1:8" x14ac:dyDescent="0.2">
      <c r="A694" s="11"/>
      <c r="B694" s="11">
        <v>0.67600000000000005</v>
      </c>
      <c r="C694">
        <f t="shared" si="34"/>
        <v>-75.298329355608601</v>
      </c>
      <c r="D694" s="8">
        <f t="shared" si="33"/>
        <v>-102.67896698142141</v>
      </c>
      <c r="E694" s="8">
        <f t="shared" si="33"/>
        <v>-100.70177308058456</v>
      </c>
      <c r="F694" s="8">
        <f t="shared" si="33"/>
        <v>-174.6525696430763</v>
      </c>
      <c r="G694" s="8">
        <f t="shared" si="33"/>
        <v>-149.30513928615258</v>
      </c>
      <c r="H694" s="8">
        <f t="shared" si="33"/>
        <v>-98.610278572305177</v>
      </c>
    </row>
    <row r="695" spans="1:8" x14ac:dyDescent="0.2">
      <c r="A695" s="11"/>
      <c r="B695" s="11">
        <v>0.67700000000000005</v>
      </c>
      <c r="C695">
        <f t="shared" si="34"/>
        <v>-75.372689326177706</v>
      </c>
      <c r="D695" s="8">
        <f t="shared" ref="D695:H745" si="35">$D$5+(D$6/(1+$B695))+(D$7/(1+$B695)^2)+(D$8/(1+$B695)^3)+(D$9/(1+$B695)^4)</f>
        <v>-102.8338386033452</v>
      </c>
      <c r="E695" s="8">
        <f t="shared" si="35"/>
        <v>-100.82525587063583</v>
      </c>
      <c r="F695" s="8">
        <f t="shared" si="35"/>
        <v>-174.71297457390128</v>
      </c>
      <c r="G695" s="8">
        <f t="shared" si="35"/>
        <v>-149.42594914780253</v>
      </c>
      <c r="H695" s="8">
        <f t="shared" si="35"/>
        <v>-98.851898295605068</v>
      </c>
    </row>
    <row r="696" spans="1:8" x14ac:dyDescent="0.2">
      <c r="A696" s="11"/>
      <c r="B696" s="11">
        <v>0.67800000000000005</v>
      </c>
      <c r="C696">
        <f t="shared" si="34"/>
        <v>-75.446960667461255</v>
      </c>
      <c r="D696" s="8">
        <f t="shared" si="35"/>
        <v>-102.98835147727517</v>
      </c>
      <c r="E696" s="8">
        <f t="shared" si="35"/>
        <v>-100.94846666173881</v>
      </c>
      <c r="F696" s="8">
        <f t="shared" si="35"/>
        <v>-174.7731996747213</v>
      </c>
      <c r="G696" s="8">
        <f t="shared" si="35"/>
        <v>-149.54639934944262</v>
      </c>
      <c r="H696" s="8">
        <f t="shared" si="35"/>
        <v>-99.092798698885233</v>
      </c>
    </row>
    <row r="697" spans="1:8" x14ac:dyDescent="0.2">
      <c r="A697" s="11"/>
      <c r="B697" s="11">
        <v>0.67900000000000005</v>
      </c>
      <c r="C697">
        <f t="shared" si="34"/>
        <v>-75.521143537820137</v>
      </c>
      <c r="D697" s="8">
        <f t="shared" si="35"/>
        <v>-103.14250668256639</v>
      </c>
      <c r="E697" s="8">
        <f t="shared" si="35"/>
        <v>-101.07140627133097</v>
      </c>
      <c r="F697" s="8">
        <f t="shared" si="35"/>
        <v>-174.83324558759497</v>
      </c>
      <c r="G697" s="8">
        <f t="shared" si="35"/>
        <v>-149.66649117518995</v>
      </c>
      <c r="H697" s="8">
        <f t="shared" si="35"/>
        <v>-99.332982350379893</v>
      </c>
    </row>
    <row r="698" spans="1:8" x14ac:dyDescent="0.2">
      <c r="A698" s="11"/>
      <c r="B698" s="11">
        <v>0.68</v>
      </c>
      <c r="C698">
        <f t="shared" si="34"/>
        <v>-75.595238095238102</v>
      </c>
      <c r="D698" s="8">
        <f t="shared" si="35"/>
        <v>-103.29630529460465</v>
      </c>
      <c r="E698" s="8">
        <f t="shared" si="35"/>
        <v>-101.19407551380343</v>
      </c>
      <c r="F698" s="8">
        <f t="shared" si="35"/>
        <v>-174.89311295190791</v>
      </c>
      <c r="G698" s="8">
        <f t="shared" si="35"/>
        <v>-149.78622590381582</v>
      </c>
      <c r="H698" s="8">
        <f t="shared" si="35"/>
        <v>-99.572451807631623</v>
      </c>
    </row>
    <row r="699" spans="1:8" x14ac:dyDescent="0.2">
      <c r="A699" s="11"/>
      <c r="B699" s="11">
        <v>0.68100000000000005</v>
      </c>
      <c r="C699">
        <f t="shared" si="34"/>
        <v>-75.669244497323021</v>
      </c>
      <c r="D699" s="8">
        <f t="shared" si="35"/>
        <v>-103.44974838482392</v>
      </c>
      <c r="E699" s="8">
        <f t="shared" si="35"/>
        <v>-101.31647520051446</v>
      </c>
      <c r="F699" s="8">
        <f t="shared" si="35"/>
        <v>-174.95280240438564</v>
      </c>
      <c r="G699" s="8">
        <f t="shared" si="35"/>
        <v>-149.90560480877127</v>
      </c>
      <c r="H699" s="8">
        <f t="shared" si="35"/>
        <v>-99.811209617542531</v>
      </c>
    </row>
    <row r="700" spans="1:8" x14ac:dyDescent="0.2">
      <c r="A700" s="11"/>
      <c r="B700" s="11">
        <v>0.68200000000000005</v>
      </c>
      <c r="C700">
        <f t="shared" si="34"/>
        <v>-75.743162901307969</v>
      </c>
      <c r="D700" s="8">
        <f t="shared" si="35"/>
        <v>-103.60283702072343</v>
      </c>
      <c r="E700" s="8">
        <f t="shared" si="35"/>
        <v>-101.43860613980274</v>
      </c>
      <c r="F700" s="8">
        <f t="shared" si="35"/>
        <v>-175.0123145791062</v>
      </c>
      <c r="G700" s="8">
        <f t="shared" si="35"/>
        <v>-150.02462915821238</v>
      </c>
      <c r="H700" s="8">
        <f t="shared" si="35"/>
        <v>-100.04925831642477</v>
      </c>
    </row>
    <row r="701" spans="1:8" x14ac:dyDescent="0.2">
      <c r="A701" s="11"/>
      <c r="B701" s="11">
        <v>0.68300000000000005</v>
      </c>
      <c r="C701">
        <f t="shared" si="34"/>
        <v>-75.816993464052288</v>
      </c>
      <c r="D701" s="8">
        <f t="shared" si="35"/>
        <v>-103.7555722658845</v>
      </c>
      <c r="E701" s="8">
        <f t="shared" si="35"/>
        <v>-101.56046913700069</v>
      </c>
      <c r="F701" s="8">
        <f t="shared" si="35"/>
        <v>-175.07165010751268</v>
      </c>
      <c r="G701" s="8">
        <f t="shared" si="35"/>
        <v>-150.14330021502536</v>
      </c>
      <c r="H701" s="8">
        <f t="shared" si="35"/>
        <v>-100.28660043005073</v>
      </c>
    </row>
    <row r="702" spans="1:8" x14ac:dyDescent="0.2">
      <c r="A702" s="11"/>
      <c r="B702" s="11">
        <v>0.68400000000000005</v>
      </c>
      <c r="C702">
        <f t="shared" si="34"/>
        <v>-75.890736342042771</v>
      </c>
      <c r="D702" s="8">
        <f t="shared" si="35"/>
        <v>-103.90795517998757</v>
      </c>
      <c r="E702" s="8">
        <f t="shared" si="35"/>
        <v>-101.68206499444756</v>
      </c>
      <c r="F702" s="8">
        <f t="shared" si="35"/>
        <v>-175.13080961842576</v>
      </c>
      <c r="G702" s="8">
        <f t="shared" si="35"/>
        <v>-150.26161923685152</v>
      </c>
      <c r="H702" s="8">
        <f t="shared" si="35"/>
        <v>-100.52323847370303</v>
      </c>
    </row>
    <row r="703" spans="1:8" x14ac:dyDescent="0.2">
      <c r="A703" s="11"/>
      <c r="B703" s="11">
        <v>0.68500000000000005</v>
      </c>
      <c r="C703">
        <f t="shared" si="34"/>
        <v>-75.964391691394667</v>
      </c>
      <c r="D703" s="8">
        <f t="shared" si="35"/>
        <v>-104.05998681882897</v>
      </c>
      <c r="E703" s="8">
        <f t="shared" si="35"/>
        <v>-101.80339451150266</v>
      </c>
      <c r="F703" s="8">
        <f t="shared" si="35"/>
        <v>-175.18979373805607</v>
      </c>
      <c r="G703" s="8">
        <f t="shared" si="35"/>
        <v>-150.37958747611216</v>
      </c>
      <c r="H703" s="8">
        <f t="shared" si="35"/>
        <v>-100.75917495222431</v>
      </c>
    </row>
    <row r="704" spans="1:8" x14ac:dyDescent="0.2">
      <c r="A704" s="11"/>
      <c r="B704" s="11">
        <v>0.68600000000000005</v>
      </c>
      <c r="C704">
        <f t="shared" si="34"/>
        <v>-76.037959667852903</v>
      </c>
      <c r="D704" s="8">
        <f t="shared" si="35"/>
        <v>-104.21166823433788</v>
      </c>
      <c r="E704" s="8">
        <f t="shared" si="35"/>
        <v>-101.92445848455856</v>
      </c>
      <c r="F704" s="8">
        <f t="shared" si="35"/>
        <v>-175.24860309001673</v>
      </c>
      <c r="G704" s="8">
        <f t="shared" si="35"/>
        <v>-150.49720618003346</v>
      </c>
      <c r="H704" s="8">
        <f t="shared" si="35"/>
        <v>-100.9944123600669</v>
      </c>
    </row>
    <row r="705" spans="1:8" x14ac:dyDescent="0.2">
      <c r="A705" s="11"/>
      <c r="B705" s="11">
        <v>0.68700000000000006</v>
      </c>
      <c r="C705">
        <f t="shared" si="34"/>
        <v>-76.111440426793123</v>
      </c>
      <c r="D705" s="8">
        <f t="shared" si="35"/>
        <v>-104.36300047459281</v>
      </c>
      <c r="E705" s="8">
        <f t="shared" si="35"/>
        <v>-102.04525770705388</v>
      </c>
      <c r="F705" s="8">
        <f t="shared" si="35"/>
        <v>-175.30723829533548</v>
      </c>
      <c r="G705" s="8">
        <f t="shared" si="35"/>
        <v>-150.61447659067096</v>
      </c>
      <c r="H705" s="8">
        <f t="shared" si="35"/>
        <v>-101.22895318134189</v>
      </c>
    </row>
    <row r="706" spans="1:8" x14ac:dyDescent="0.2">
      <c r="A706" s="11"/>
      <c r="B706" s="11">
        <v>0.68799999999999994</v>
      </c>
      <c r="C706">
        <f t="shared" si="34"/>
        <v>-76.184834123222743</v>
      </c>
      <c r="D706" s="8">
        <f t="shared" si="35"/>
        <v>-104.51398458383819</v>
      </c>
      <c r="E706" s="8">
        <f t="shared" si="35"/>
        <v>-102.16579296948635</v>
      </c>
      <c r="F706" s="8">
        <f t="shared" si="35"/>
        <v>-175.36569997246698</v>
      </c>
      <c r="G706" s="8">
        <f t="shared" si="35"/>
        <v>-150.731399944934</v>
      </c>
      <c r="H706" s="8">
        <f t="shared" si="35"/>
        <v>-101.46279988986799</v>
      </c>
    </row>
    <row r="707" spans="1:8" x14ac:dyDescent="0.2">
      <c r="A707" s="11"/>
      <c r="B707" s="11">
        <v>0.68899999999999995</v>
      </c>
      <c r="C707">
        <f t="shared" si="34"/>
        <v>-76.258140911782121</v>
      </c>
      <c r="D707" s="8">
        <f t="shared" si="35"/>
        <v>-104.66462160250109</v>
      </c>
      <c r="E707" s="8">
        <f t="shared" si="35"/>
        <v>-102.28606505942577</v>
      </c>
      <c r="F707" s="8">
        <f t="shared" si="35"/>
        <v>-175.42398873730514</v>
      </c>
      <c r="G707" s="8">
        <f t="shared" si="35"/>
        <v>-150.84797747461025</v>
      </c>
      <c r="H707" s="8">
        <f t="shared" si="35"/>
        <v>-101.69595494922049</v>
      </c>
    </row>
    <row r="708" spans="1:8" x14ac:dyDescent="0.2">
      <c r="A708" s="11"/>
      <c r="B708" s="11">
        <v>0.69</v>
      </c>
      <c r="C708">
        <f t="shared" si="34"/>
        <v>-76.331360946745562</v>
      </c>
      <c r="D708" s="8">
        <f t="shared" si="35"/>
        <v>-104.81491256720732</v>
      </c>
      <c r="E708" s="8">
        <f t="shared" si="35"/>
        <v>-102.40607476152658</v>
      </c>
      <c r="F708" s="8">
        <f t="shared" si="35"/>
        <v>-175.48210520319486</v>
      </c>
      <c r="G708" s="8">
        <f t="shared" si="35"/>
        <v>-150.96421040638972</v>
      </c>
      <c r="H708" s="8">
        <f t="shared" si="35"/>
        <v>-101.92842081277944</v>
      </c>
    </row>
    <row r="709" spans="1:8" x14ac:dyDescent="0.2">
      <c r="A709" s="11"/>
      <c r="B709" s="11">
        <v>0.69099999999999995</v>
      </c>
      <c r="C709">
        <f t="shared" si="34"/>
        <v>-76.404494382022463</v>
      </c>
      <c r="D709" s="8">
        <f t="shared" si="35"/>
        <v>-104.96485851079811</v>
      </c>
      <c r="E709" s="8">
        <f t="shared" si="35"/>
        <v>-102.52582285754099</v>
      </c>
      <c r="F709" s="8">
        <f t="shared" si="35"/>
        <v>-175.54004998094453</v>
      </c>
      <c r="G709" s="8">
        <f t="shared" si="35"/>
        <v>-151.08009996188906</v>
      </c>
      <c r="H709" s="8">
        <f t="shared" si="35"/>
        <v>-102.16019992377815</v>
      </c>
    </row>
    <row r="710" spans="1:8" x14ac:dyDescent="0.2">
      <c r="A710" s="11"/>
      <c r="B710" s="11">
        <v>0.69199999999999995</v>
      </c>
      <c r="C710">
        <f t="shared" si="34"/>
        <v>-76.477541371158395</v>
      </c>
      <c r="D710" s="8">
        <f t="shared" si="35"/>
        <v>-105.11446046234624</v>
      </c>
      <c r="E710" s="8">
        <f t="shared" si="35"/>
        <v>-102.64531012633132</v>
      </c>
      <c r="F710" s="8">
        <f t="shared" si="35"/>
        <v>-175.59782367883773</v>
      </c>
      <c r="G710" s="8">
        <f t="shared" si="35"/>
        <v>-151.19564735767545</v>
      </c>
      <c r="H710" s="8">
        <f t="shared" si="35"/>
        <v>-102.39129471535088</v>
      </c>
    </row>
    <row r="711" spans="1:8" x14ac:dyDescent="0.2">
      <c r="A711" s="11"/>
      <c r="B711" s="11">
        <v>0.69299999999999995</v>
      </c>
      <c r="C711">
        <f t="shared" si="34"/>
        <v>-76.550502067336097</v>
      </c>
      <c r="D711" s="8">
        <f t="shared" si="35"/>
        <v>-105.26371944717215</v>
      </c>
      <c r="E711" s="8">
        <f t="shared" si="35"/>
        <v>-102.76453734388279</v>
      </c>
      <c r="F711" s="8">
        <f t="shared" si="35"/>
        <v>-175.65542690264513</v>
      </c>
      <c r="G711" s="8">
        <f t="shared" si="35"/>
        <v>-151.31085380529026</v>
      </c>
      <c r="H711" s="8">
        <f t="shared" si="35"/>
        <v>-102.62170761058054</v>
      </c>
    </row>
    <row r="712" spans="1:8" x14ac:dyDescent="0.2">
      <c r="A712" s="11"/>
      <c r="B712" s="11">
        <v>0.69399999999999995</v>
      </c>
      <c r="C712">
        <f t="shared" si="34"/>
        <v>-76.623376623376615</v>
      </c>
      <c r="D712" s="8">
        <f t="shared" si="35"/>
        <v>-105.41263648686002</v>
      </c>
      <c r="E712" s="8">
        <f t="shared" si="35"/>
        <v>-102.88350528331601</v>
      </c>
      <c r="F712" s="8">
        <f t="shared" si="35"/>
        <v>-175.71286025563654</v>
      </c>
      <c r="G712" s="8">
        <f t="shared" si="35"/>
        <v>-151.42572051127308</v>
      </c>
      <c r="H712" s="8">
        <f t="shared" si="35"/>
        <v>-102.85144102254614</v>
      </c>
    </row>
    <row r="713" spans="1:8" x14ac:dyDescent="0.2">
      <c r="A713" s="11"/>
      <c r="B713" s="11">
        <v>0.69499999999999995</v>
      </c>
      <c r="C713">
        <f t="shared" si="34"/>
        <v>-76.696165191740405</v>
      </c>
      <c r="D713" s="8">
        <f t="shared" si="35"/>
        <v>-105.56121259927416</v>
      </c>
      <c r="E713" s="8">
        <f t="shared" si="35"/>
        <v>-103.00221471489962</v>
      </c>
      <c r="F713" s="8">
        <f t="shared" si="35"/>
        <v>-175.77012433859252</v>
      </c>
      <c r="G713" s="8">
        <f t="shared" si="35"/>
        <v>-151.54024867718505</v>
      </c>
      <c r="H713" s="8">
        <f t="shared" si="35"/>
        <v>-103.08049735437008</v>
      </c>
    </row>
    <row r="714" spans="1:8" x14ac:dyDescent="0.2">
      <c r="A714" s="11"/>
      <c r="B714" s="11">
        <v>0.69599999999999995</v>
      </c>
      <c r="C714">
        <f t="shared" si="34"/>
        <v>-76.768867924528294</v>
      </c>
      <c r="D714" s="8">
        <f t="shared" si="35"/>
        <v>-105.7094487985745</v>
      </c>
      <c r="E714" s="8">
        <f t="shared" si="35"/>
        <v>-103.12066640606258</v>
      </c>
      <c r="F714" s="8">
        <f t="shared" si="35"/>
        <v>-175.82721974981627</v>
      </c>
      <c r="G714" s="8">
        <f t="shared" si="35"/>
        <v>-151.65443949963253</v>
      </c>
      <c r="H714" s="8">
        <f t="shared" si="35"/>
        <v>-103.30887899926506</v>
      </c>
    </row>
    <row r="715" spans="1:8" x14ac:dyDescent="0.2">
      <c r="A715" s="11"/>
      <c r="B715" s="11">
        <v>0.69699999999999995</v>
      </c>
      <c r="C715">
        <f t="shared" si="34"/>
        <v>-76.841484973482622</v>
      </c>
      <c r="D715" s="8">
        <f t="shared" si="35"/>
        <v>-105.85734609523274</v>
      </c>
      <c r="E715" s="8">
        <f t="shared" si="35"/>
        <v>-103.23886112140654</v>
      </c>
      <c r="F715" s="8">
        <f t="shared" si="35"/>
        <v>-175.88414708514512</v>
      </c>
      <c r="G715" s="8">
        <f t="shared" si="35"/>
        <v>-151.76829417029023</v>
      </c>
      <c r="H715" s="8">
        <f t="shared" si="35"/>
        <v>-103.53658834058047</v>
      </c>
    </row>
    <row r="716" spans="1:8" x14ac:dyDescent="0.2">
      <c r="A716" s="11"/>
      <c r="B716" s="11">
        <v>0.69799999999999995</v>
      </c>
      <c r="C716">
        <f t="shared" si="34"/>
        <v>-76.914016489988214</v>
      </c>
      <c r="D716" s="8">
        <f t="shared" si="35"/>
        <v>-106.00490549604797</v>
      </c>
      <c r="E716" s="8">
        <f t="shared" si="35"/>
        <v>-103.35679962271831</v>
      </c>
      <c r="F716" s="8">
        <f t="shared" si="35"/>
        <v>-175.94090693796227</v>
      </c>
      <c r="G716" s="8">
        <f t="shared" si="35"/>
        <v>-151.88181387592454</v>
      </c>
      <c r="H716" s="8">
        <f t="shared" si="35"/>
        <v>-103.7636277518491</v>
      </c>
    </row>
    <row r="717" spans="1:8" x14ac:dyDescent="0.2">
      <c r="A717" s="11"/>
      <c r="B717" s="11">
        <v>0.69899999999999995</v>
      </c>
      <c r="C717">
        <f t="shared" si="34"/>
        <v>-76.986462625073557</v>
      </c>
      <c r="D717" s="8">
        <f t="shared" si="35"/>
        <v>-106.15212800416259</v>
      </c>
      <c r="E717" s="8">
        <f t="shared" si="35"/>
        <v>-103.47448266898196</v>
      </c>
      <c r="F717" s="8">
        <f t="shared" si="35"/>
        <v>-175.99749989920832</v>
      </c>
      <c r="G717" s="8">
        <f t="shared" si="35"/>
        <v>-151.99499979841667</v>
      </c>
      <c r="H717" s="8">
        <f t="shared" si="35"/>
        <v>-103.98999959683333</v>
      </c>
    </row>
    <row r="718" spans="1:8" x14ac:dyDescent="0.2">
      <c r="A718" s="11"/>
      <c r="B718" s="11">
        <v>0.7</v>
      </c>
      <c r="C718">
        <f t="shared" si="34"/>
        <v>-77.058823529411768</v>
      </c>
      <c r="D718" s="8">
        <f t="shared" si="35"/>
        <v>-106.29901461907784</v>
      </c>
      <c r="E718" s="8">
        <f t="shared" si="35"/>
        <v>-103.59191101639109</v>
      </c>
      <c r="F718" s="8">
        <f t="shared" si="35"/>
        <v>-176.05392655739274</v>
      </c>
      <c r="G718" s="8">
        <f t="shared" si="35"/>
        <v>-152.10785311478548</v>
      </c>
      <c r="H718" s="8">
        <f t="shared" si="35"/>
        <v>-104.21570622957098</v>
      </c>
    </row>
    <row r="719" spans="1:8" x14ac:dyDescent="0.2">
      <c r="A719" s="11"/>
      <c r="B719" s="11">
        <v>0.70099999999999996</v>
      </c>
      <c r="C719">
        <f t="shared" si="34"/>
        <v>-77.131099353321574</v>
      </c>
      <c r="D719" s="8">
        <f t="shared" si="35"/>
        <v>-106.44556633666927</v>
      </c>
      <c r="E719" s="8">
        <f t="shared" si="35"/>
        <v>-103.70908541836089</v>
      </c>
      <c r="F719" s="8">
        <f t="shared" si="35"/>
        <v>-176.11018749860526</v>
      </c>
      <c r="G719" s="8">
        <f t="shared" si="35"/>
        <v>-152.22037499721048</v>
      </c>
      <c r="H719" s="8">
        <f t="shared" si="35"/>
        <v>-104.44074999442098</v>
      </c>
    </row>
    <row r="720" spans="1:8" x14ac:dyDescent="0.2">
      <c r="A720" s="11"/>
      <c r="B720" s="11">
        <v>0.70199999999999996</v>
      </c>
      <c r="C720">
        <f t="shared" si="34"/>
        <v>-77.203290246768503</v>
      </c>
      <c r="D720" s="8">
        <f t="shared" si="35"/>
        <v>-106.59178414920231</v>
      </c>
      <c r="E720" s="8">
        <f t="shared" si="35"/>
        <v>-103.82600662554017</v>
      </c>
      <c r="F720" s="8">
        <f t="shared" si="35"/>
        <v>-176.16628330652719</v>
      </c>
      <c r="G720" s="8">
        <f t="shared" si="35"/>
        <v>-152.33256661305435</v>
      </c>
      <c r="H720" s="8">
        <f t="shared" si="35"/>
        <v>-104.66513322610871</v>
      </c>
    </row>
    <row r="721" spans="1:8" x14ac:dyDescent="0.2">
      <c r="A721" s="11"/>
      <c r="B721" s="11">
        <v>0.70299999999999996</v>
      </c>
      <c r="C721">
        <f t="shared" si="34"/>
        <v>-77.275396359365814</v>
      </c>
      <c r="D721" s="8">
        <f t="shared" si="35"/>
        <v>-106.73766904534779</v>
      </c>
      <c r="E721" s="8">
        <f t="shared" si="35"/>
        <v>-103.94267538582368</v>
      </c>
      <c r="F721" s="8">
        <f t="shared" si="35"/>
        <v>-176.2222145624429</v>
      </c>
      <c r="G721" s="8">
        <f t="shared" si="35"/>
        <v>-152.4444291248858</v>
      </c>
      <c r="H721" s="8">
        <f t="shared" si="35"/>
        <v>-104.88885824977159</v>
      </c>
    </row>
    <row r="722" spans="1:8" x14ac:dyDescent="0.2">
      <c r="A722" s="11"/>
      <c r="B722" s="11">
        <v>0.70399999999999996</v>
      </c>
      <c r="C722">
        <f t="shared" si="34"/>
        <v>-77.347417840375584</v>
      </c>
      <c r="D722" s="8">
        <f t="shared" si="35"/>
        <v>-106.88322201019713</v>
      </c>
      <c r="E722" s="8">
        <f t="shared" si="35"/>
        <v>-104.05909244436364</v>
      </c>
      <c r="F722" s="8">
        <f t="shared" si="35"/>
        <v>-176.27798184525096</v>
      </c>
      <c r="G722" s="8">
        <f t="shared" si="35"/>
        <v>-152.5559636905019</v>
      </c>
      <c r="H722" s="8">
        <f t="shared" si="35"/>
        <v>-105.11192738100381</v>
      </c>
    </row>
    <row r="723" spans="1:8" x14ac:dyDescent="0.2">
      <c r="A723" s="11"/>
      <c r="B723" s="11">
        <v>0.70499999999999996</v>
      </c>
      <c r="C723">
        <f t="shared" si="34"/>
        <v>-77.41935483870968</v>
      </c>
      <c r="D723" s="8">
        <f t="shared" si="35"/>
        <v>-107.02844402527762</v>
      </c>
      <c r="E723" s="8">
        <f t="shared" si="35"/>
        <v>-104.17525854358182</v>
      </c>
      <c r="F723" s="8">
        <f t="shared" si="35"/>
        <v>-176.33358573147524</v>
      </c>
      <c r="G723" s="8">
        <f t="shared" si="35"/>
        <v>-152.66717146295048</v>
      </c>
      <c r="H723" s="8">
        <f t="shared" si="35"/>
        <v>-105.33434292590096</v>
      </c>
    </row>
    <row r="724" spans="1:8" x14ac:dyDescent="0.2">
      <c r="A724" s="11"/>
      <c r="B724" s="11">
        <v>0.70599999999999996</v>
      </c>
      <c r="C724">
        <f t="shared" ref="C724:C787" si="36">$C$5+$C$6/(1+$B724)</f>
        <v>-77.491207502930834</v>
      </c>
      <c r="D724" s="8">
        <f t="shared" si="35"/>
        <v>-107.17333606856755</v>
      </c>
      <c r="E724" s="8">
        <f t="shared" si="35"/>
        <v>-104.29117442318142</v>
      </c>
      <c r="F724" s="8">
        <f t="shared" si="35"/>
        <v>-176.38902679527615</v>
      </c>
      <c r="G724" s="8">
        <f t="shared" si="35"/>
        <v>-152.7780535905523</v>
      </c>
      <c r="H724" s="8">
        <f t="shared" si="35"/>
        <v>-105.55610718110459</v>
      </c>
    </row>
    <row r="725" spans="1:8" x14ac:dyDescent="0.2">
      <c r="A725" s="11"/>
      <c r="B725" s="11">
        <v>0.70699999999999996</v>
      </c>
      <c r="C725">
        <f t="shared" si="36"/>
        <v>-77.562975981253658</v>
      </c>
      <c r="D725" s="8">
        <f t="shared" si="35"/>
        <v>-107.31789911451149</v>
      </c>
      <c r="E725" s="8">
        <f t="shared" si="35"/>
        <v>-104.40684082015876</v>
      </c>
      <c r="F725" s="8">
        <f t="shared" si="35"/>
        <v>-176.44430560846172</v>
      </c>
      <c r="G725" s="8">
        <f t="shared" si="35"/>
        <v>-152.88861121692344</v>
      </c>
      <c r="H725" s="8">
        <f t="shared" si="35"/>
        <v>-105.77722243384684</v>
      </c>
    </row>
    <row r="726" spans="1:8" x14ac:dyDescent="0.2">
      <c r="A726" s="11"/>
      <c r="B726" s="11">
        <v>0.70799999999999996</v>
      </c>
      <c r="C726">
        <f t="shared" si="36"/>
        <v>-77.634660421545661</v>
      </c>
      <c r="D726" s="8">
        <f t="shared" si="35"/>
        <v>-107.46213413403525</v>
      </c>
      <c r="E726" s="8">
        <f t="shared" si="35"/>
        <v>-104.52225846881504</v>
      </c>
      <c r="F726" s="8">
        <f t="shared" si="35"/>
        <v>-176.49942274049849</v>
      </c>
      <c r="G726" s="8">
        <f t="shared" si="35"/>
        <v>-152.99884548099698</v>
      </c>
      <c r="H726" s="8">
        <f t="shared" si="35"/>
        <v>-105.99769096199395</v>
      </c>
    </row>
    <row r="727" spans="1:8" x14ac:dyDescent="0.2">
      <c r="A727" s="11"/>
      <c r="B727" s="11">
        <v>0.70899999999999996</v>
      </c>
      <c r="C727">
        <f t="shared" si="36"/>
        <v>-77.706260971328263</v>
      </c>
      <c r="D727" s="8">
        <f t="shared" si="35"/>
        <v>-107.60604209456073</v>
      </c>
      <c r="E727" s="8">
        <f t="shared" si="35"/>
        <v>-104.63742810076798</v>
      </c>
      <c r="F727" s="8">
        <f t="shared" si="35"/>
        <v>-176.55437875852257</v>
      </c>
      <c r="G727" s="8">
        <f t="shared" si="35"/>
        <v>-153.10875751704518</v>
      </c>
      <c r="H727" s="8">
        <f t="shared" si="35"/>
        <v>-106.21751503409034</v>
      </c>
    </row>
    <row r="728" spans="1:8" x14ac:dyDescent="0.2">
      <c r="A728" s="11"/>
      <c r="B728" s="11">
        <v>0.71</v>
      </c>
      <c r="C728">
        <f t="shared" si="36"/>
        <v>-77.777777777777771</v>
      </c>
      <c r="D728" s="8">
        <f t="shared" si="35"/>
        <v>-107.74962396002093</v>
      </c>
      <c r="E728" s="8">
        <f t="shared" si="35"/>
        <v>-104.75235044496324</v>
      </c>
      <c r="F728" s="8">
        <f t="shared" si="35"/>
        <v>-176.60917422735054</v>
      </c>
      <c r="G728" s="8">
        <f t="shared" si="35"/>
        <v>-153.21834845470104</v>
      </c>
      <c r="H728" s="8">
        <f t="shared" si="35"/>
        <v>-106.4366969094021</v>
      </c>
    </row>
    <row r="729" spans="1:8" x14ac:dyDescent="0.2">
      <c r="A729" s="11"/>
      <c r="B729" s="11">
        <v>0.71099999999999997</v>
      </c>
      <c r="C729">
        <f t="shared" si="36"/>
        <v>-77.849210987726465</v>
      </c>
      <c r="D729" s="8">
        <f t="shared" si="35"/>
        <v>-107.89288069087476</v>
      </c>
      <c r="E729" s="8">
        <f t="shared" si="35"/>
        <v>-104.86702622768648</v>
      </c>
      <c r="F729" s="8">
        <f t="shared" si="35"/>
        <v>-176.66380970949012</v>
      </c>
      <c r="G729" s="8">
        <f t="shared" si="35"/>
        <v>-153.32761941898025</v>
      </c>
      <c r="H729" s="8">
        <f t="shared" si="35"/>
        <v>-106.65523883796048</v>
      </c>
    </row>
    <row r="730" spans="1:8" x14ac:dyDescent="0.2">
      <c r="A730" s="11"/>
      <c r="B730" s="11">
        <v>0.71199999999999997</v>
      </c>
      <c r="C730">
        <f t="shared" si="36"/>
        <v>-77.920560747663544</v>
      </c>
      <c r="D730" s="8">
        <f t="shared" si="35"/>
        <v>-108.03581324412178</v>
      </c>
      <c r="E730" s="8">
        <f t="shared" si="35"/>
        <v>-104.9814561725741</v>
      </c>
      <c r="F730" s="8">
        <f t="shared" si="35"/>
        <v>-176.71828576515119</v>
      </c>
      <c r="G730" s="8">
        <f t="shared" si="35"/>
        <v>-153.43657153030239</v>
      </c>
      <c r="H730" s="8">
        <f t="shared" si="35"/>
        <v>-106.8731430606048</v>
      </c>
    </row>
    <row r="731" spans="1:8" x14ac:dyDescent="0.2">
      <c r="A731" s="11"/>
      <c r="B731" s="11">
        <v>0.71299999999999997</v>
      </c>
      <c r="C731">
        <f t="shared" si="36"/>
        <v>-77.991827203736136</v>
      </c>
      <c r="D731" s="8">
        <f t="shared" si="35"/>
        <v>-108.17842257331682</v>
      </c>
      <c r="E731" s="8">
        <f t="shared" si="35"/>
        <v>-105.09564100062533</v>
      </c>
      <c r="F731" s="8">
        <f t="shared" si="35"/>
        <v>-176.77260295225639</v>
      </c>
      <c r="G731" s="8">
        <f t="shared" si="35"/>
        <v>-153.54520590451278</v>
      </c>
      <c r="H731" s="8">
        <f t="shared" si="35"/>
        <v>-107.09041180902554</v>
      </c>
    </row>
    <row r="732" spans="1:8" x14ac:dyDescent="0.2">
      <c r="A732" s="11"/>
      <c r="B732" s="11">
        <v>0.71399999999999997</v>
      </c>
      <c r="C732">
        <f t="shared" si="36"/>
        <v>-78.063010501750284</v>
      </c>
      <c r="D732" s="8">
        <f t="shared" si="35"/>
        <v>-108.32070962858458</v>
      </c>
      <c r="E732" s="8">
        <f t="shared" si="35"/>
        <v>-105.20958143021315</v>
      </c>
      <c r="F732" s="8">
        <f t="shared" si="35"/>
        <v>-176.82676182645167</v>
      </c>
      <c r="G732" s="8">
        <f t="shared" si="35"/>
        <v>-153.65352365290335</v>
      </c>
      <c r="H732" s="8">
        <f t="shared" si="35"/>
        <v>-107.30704730580669</v>
      </c>
    </row>
    <row r="733" spans="1:8" x14ac:dyDescent="0.2">
      <c r="A733" s="11"/>
      <c r="B733" s="11">
        <v>0.71499999999999997</v>
      </c>
      <c r="C733">
        <f t="shared" si="36"/>
        <v>-78.134110787172006</v>
      </c>
      <c r="D733" s="8">
        <f t="shared" si="35"/>
        <v>-108.46267535663426</v>
      </c>
      <c r="E733" s="8">
        <f t="shared" si="35"/>
        <v>-105.32327817709586</v>
      </c>
      <c r="F733" s="8">
        <f t="shared" si="35"/>
        <v>-176.88076294111715</v>
      </c>
      <c r="G733" s="8">
        <f t="shared" si="35"/>
        <v>-153.76152588223431</v>
      </c>
      <c r="H733" s="8">
        <f t="shared" si="35"/>
        <v>-107.52305176446859</v>
      </c>
    </row>
    <row r="734" spans="1:8" x14ac:dyDescent="0.2">
      <c r="A734" s="11"/>
      <c r="B734" s="11">
        <v>0.71599999999999997</v>
      </c>
      <c r="C734">
        <f t="shared" si="36"/>
        <v>-78.205128205128204</v>
      </c>
      <c r="D734" s="8">
        <f t="shared" si="35"/>
        <v>-108.60432070077395</v>
      </c>
      <c r="E734" s="8">
        <f t="shared" si="35"/>
        <v>-105.43673195442831</v>
      </c>
      <c r="F734" s="8">
        <f t="shared" si="35"/>
        <v>-176.93460684737749</v>
      </c>
      <c r="G734" s="8">
        <f t="shared" si="35"/>
        <v>-153.86921369475499</v>
      </c>
      <c r="H734" s="8">
        <f t="shared" si="35"/>
        <v>-107.73842738950998</v>
      </c>
    </row>
    <row r="735" spans="1:8" x14ac:dyDescent="0.2">
      <c r="A735" s="11"/>
      <c r="B735" s="11">
        <v>0.71699999999999997</v>
      </c>
      <c r="C735">
        <f t="shared" si="36"/>
        <v>-78.276062900407695</v>
      </c>
      <c r="D735" s="8">
        <f t="shared" si="35"/>
        <v>-108.74564660092508</v>
      </c>
      <c r="E735" s="8">
        <f t="shared" si="35"/>
        <v>-105.54994347277292</v>
      </c>
      <c r="F735" s="8">
        <f t="shared" si="35"/>
        <v>-176.98829409411246</v>
      </c>
      <c r="G735" s="8">
        <f t="shared" si="35"/>
        <v>-153.97658818822495</v>
      </c>
      <c r="H735" s="8">
        <f t="shared" si="35"/>
        <v>-107.9531763764499</v>
      </c>
    </row>
    <row r="736" spans="1:8" x14ac:dyDescent="0.2">
      <c r="A736" s="11"/>
      <c r="B736" s="11">
        <v>0.71799999999999997</v>
      </c>
      <c r="C736">
        <f t="shared" si="36"/>
        <v>-78.346915017462166</v>
      </c>
      <c r="D736" s="8">
        <f t="shared" si="35"/>
        <v>-108.88665399363647</v>
      </c>
      <c r="E736" s="8">
        <f t="shared" si="35"/>
        <v>-105.6629134401109</v>
      </c>
      <c r="F736" s="8">
        <f t="shared" si="35"/>
        <v>-177.04182522796737</v>
      </c>
      <c r="G736" s="8">
        <f t="shared" si="35"/>
        <v>-154.08365045593473</v>
      </c>
      <c r="H736" s="8">
        <f t="shared" si="35"/>
        <v>-108.16730091186943</v>
      </c>
    </row>
    <row r="737" spans="1:8" x14ac:dyDescent="0.2">
      <c r="A737" s="11"/>
      <c r="B737" s="11">
        <v>0.71899999999999997</v>
      </c>
      <c r="C737">
        <f t="shared" si="36"/>
        <v>-78.417684700407207</v>
      </c>
      <c r="D737" s="8">
        <f t="shared" si="35"/>
        <v>-109.02734381209909</v>
      </c>
      <c r="E737" s="8">
        <f t="shared" si="35"/>
        <v>-105.77564256185356</v>
      </c>
      <c r="F737" s="8">
        <f t="shared" si="35"/>
        <v>-177.0952007933634</v>
      </c>
      <c r="G737" s="8">
        <f t="shared" si="35"/>
        <v>-154.19040158672678</v>
      </c>
      <c r="H737" s="8">
        <f t="shared" si="35"/>
        <v>-108.38080317345357</v>
      </c>
    </row>
    <row r="738" spans="1:8" x14ac:dyDescent="0.2">
      <c r="A738" s="11"/>
      <c r="B738" s="11">
        <v>0.72</v>
      </c>
      <c r="C738">
        <f t="shared" si="36"/>
        <v>-78.488372093023258</v>
      </c>
      <c r="D738" s="8">
        <f t="shared" si="35"/>
        <v>-109.16771698615975</v>
      </c>
      <c r="E738" s="8">
        <f t="shared" si="35"/>
        <v>-105.88813154085304</v>
      </c>
      <c r="F738" s="8">
        <f t="shared" si="35"/>
        <v>-177.14842133250809</v>
      </c>
      <c r="G738" s="8">
        <f t="shared" si="35"/>
        <v>-154.29684266501619</v>
      </c>
      <c r="H738" s="8">
        <f t="shared" si="35"/>
        <v>-108.59368533003234</v>
      </c>
    </row>
    <row r="739" spans="1:8" x14ac:dyDescent="0.2">
      <c r="A739" s="11"/>
      <c r="B739" s="11">
        <v>0.72099999999999997</v>
      </c>
      <c r="C739">
        <f t="shared" si="36"/>
        <v>-78.558977338756549</v>
      </c>
      <c r="D739" s="8">
        <f t="shared" si="35"/>
        <v>-109.3077744423355</v>
      </c>
      <c r="E739" s="8">
        <f t="shared" si="35"/>
        <v>-106.00038107741355</v>
      </c>
      <c r="F739" s="8">
        <f t="shared" si="35"/>
        <v>-177.20148738540547</v>
      </c>
      <c r="G739" s="8">
        <f t="shared" si="35"/>
        <v>-154.40297477081094</v>
      </c>
      <c r="H739" s="8">
        <f t="shared" si="35"/>
        <v>-108.8059495416219</v>
      </c>
    </row>
    <row r="740" spans="1:8" x14ac:dyDescent="0.2">
      <c r="A740" s="11"/>
      <c r="B740" s="11">
        <v>0.72199999999999998</v>
      </c>
      <c r="C740">
        <f t="shared" si="36"/>
        <v>-78.629500580720091</v>
      </c>
      <c r="D740" s="8">
        <f t="shared" si="35"/>
        <v>-109.44751710382755</v>
      </c>
      <c r="E740" s="8">
        <f t="shared" si="35"/>
        <v>-106.11239186930194</v>
      </c>
      <c r="F740" s="8">
        <f t="shared" si="35"/>
        <v>-177.25439948986636</v>
      </c>
      <c r="G740" s="8">
        <f t="shared" si="35"/>
        <v>-154.50879897973269</v>
      </c>
      <c r="H740" s="8">
        <f t="shared" si="35"/>
        <v>-109.01759795946539</v>
      </c>
    </row>
    <row r="741" spans="1:8" x14ac:dyDescent="0.2">
      <c r="A741" s="11"/>
      <c r="B741" s="11">
        <v>0.72299999999999998</v>
      </c>
      <c r="C741">
        <f t="shared" si="36"/>
        <v>-78.699941961694705</v>
      </c>
      <c r="D741" s="8">
        <f t="shared" si="35"/>
        <v>-109.5869458905352</v>
      </c>
      <c r="E741" s="8">
        <f t="shared" si="35"/>
        <v>-106.22416461175902</v>
      </c>
      <c r="F741" s="8">
        <f t="shared" si="35"/>
        <v>-177.30715818151847</v>
      </c>
      <c r="G741" s="8">
        <f t="shared" si="35"/>
        <v>-154.61431636303698</v>
      </c>
      <c r="H741" s="8">
        <f t="shared" si="35"/>
        <v>-109.22863272607394</v>
      </c>
    </row>
    <row r="742" spans="1:8" x14ac:dyDescent="0.2">
      <c r="A742" s="11"/>
      <c r="B742" s="11">
        <v>0.72399999999999998</v>
      </c>
      <c r="C742">
        <f t="shared" si="36"/>
        <v>-78.770301624129928</v>
      </c>
      <c r="D742" s="8">
        <f t="shared" si="35"/>
        <v>-109.72606171907006</v>
      </c>
      <c r="E742" s="8">
        <f t="shared" si="35"/>
        <v>-106.3356999975101</v>
      </c>
      <c r="F742" s="8">
        <f t="shared" si="35"/>
        <v>-177.35976399381673</v>
      </c>
      <c r="G742" s="8">
        <f t="shared" si="35"/>
        <v>-154.71952798763343</v>
      </c>
      <c r="H742" s="8">
        <f t="shared" si="35"/>
        <v>-109.43905597526685</v>
      </c>
    </row>
    <row r="743" spans="1:8" x14ac:dyDescent="0.2">
      <c r="A743" s="11"/>
      <c r="B743" s="11">
        <v>0.72499999999999998</v>
      </c>
      <c r="C743">
        <f t="shared" si="36"/>
        <v>-78.840579710144937</v>
      </c>
      <c r="D743" s="8">
        <f t="shared" si="35"/>
        <v>-109.86486550276942</v>
      </c>
      <c r="E743" s="8">
        <f t="shared" si="35"/>
        <v>-106.44699871677574</v>
      </c>
      <c r="F743" s="8">
        <f t="shared" si="35"/>
        <v>-177.41221745805302</v>
      </c>
      <c r="G743" s="8">
        <f t="shared" si="35"/>
        <v>-154.82443491610604</v>
      </c>
      <c r="H743" s="8">
        <f t="shared" si="35"/>
        <v>-109.64886983221207</v>
      </c>
    </row>
    <row r="744" spans="1:8" x14ac:dyDescent="0.2">
      <c r="A744" s="11"/>
      <c r="B744" s="11">
        <v>0.72599999999999998</v>
      </c>
      <c r="C744">
        <f t="shared" si="36"/>
        <v>-78.910776361529543</v>
      </c>
      <c r="D744" s="8">
        <f t="shared" si="35"/>
        <v>-110.00335815171034</v>
      </c>
      <c r="E744" s="8">
        <f t="shared" si="35"/>
        <v>-106.55806145728259</v>
      </c>
      <c r="F744" s="8">
        <f t="shared" si="35"/>
        <v>-177.46451910336648</v>
      </c>
      <c r="G744" s="8">
        <f t="shared" si="35"/>
        <v>-154.92903820673297</v>
      </c>
      <c r="H744" s="8">
        <f t="shared" si="35"/>
        <v>-109.85807641346594</v>
      </c>
    </row>
    <row r="745" spans="1:8" x14ac:dyDescent="0.2">
      <c r="A745" s="11"/>
      <c r="B745" s="11">
        <v>0.72699999999999998</v>
      </c>
      <c r="C745">
        <f t="shared" si="36"/>
        <v>-78.980891719745216</v>
      </c>
      <c r="D745" s="8">
        <f t="shared" si="35"/>
        <v>-110.14154057272336</v>
      </c>
      <c r="E745" s="8">
        <f t="shared" si="35"/>
        <v>-106.668888904274</v>
      </c>
      <c r="F745" s="8">
        <f t="shared" si="35"/>
        <v>-177.51666945675339</v>
      </c>
      <c r="G745" s="8">
        <f t="shared" si="35"/>
        <v>-155.03333891350675</v>
      </c>
      <c r="H745" s="8">
        <f t="shared" si="35"/>
        <v>-110.06667782701351</v>
      </c>
    </row>
    <row r="746" spans="1:8" x14ac:dyDescent="0.2">
      <c r="A746" s="11"/>
      <c r="B746" s="11">
        <v>0.72799999999999998</v>
      </c>
      <c r="C746">
        <f t="shared" si="36"/>
        <v>-79.050925925925924</v>
      </c>
      <c r="D746" s="8">
        <f t="shared" ref="D746:H796" si="37">$D$5+(D$6/(1+$B746))+(D$7/(1+$B746)^2)+(D$8/(1+$B746)^3)+(D$9/(1+$B746)^4)</f>
        <v>-110.27941366940604</v>
      </c>
      <c r="E746" s="8">
        <f t="shared" si="37"/>
        <v>-106.77948174052069</v>
      </c>
      <c r="F746" s="8">
        <f t="shared" si="37"/>
        <v>-177.56866904307697</v>
      </c>
      <c r="G746" s="8">
        <f t="shared" si="37"/>
        <v>-155.13733808615396</v>
      </c>
      <c r="H746" s="8">
        <f t="shared" si="37"/>
        <v>-110.27467617230791</v>
      </c>
    </row>
    <row r="747" spans="1:8" x14ac:dyDescent="0.2">
      <c r="A747" s="11"/>
      <c r="B747" s="11">
        <v>0.72899999999999998</v>
      </c>
      <c r="C747">
        <f t="shared" si="36"/>
        <v>-79.120879120879124</v>
      </c>
      <c r="D747" s="8">
        <f t="shared" si="37"/>
        <v>-110.41697834213642</v>
      </c>
      <c r="E747" s="8">
        <f t="shared" si="37"/>
        <v>-106.88984064633114</v>
      </c>
      <c r="F747" s="8">
        <f t="shared" si="37"/>
        <v>-177.62051838507745</v>
      </c>
      <c r="G747" s="8">
        <f t="shared" si="37"/>
        <v>-155.24103677015489</v>
      </c>
      <c r="H747" s="8">
        <f t="shared" si="37"/>
        <v>-110.48207354030977</v>
      </c>
    </row>
    <row r="748" spans="1:8" x14ac:dyDescent="0.2">
      <c r="A748" s="11"/>
      <c r="B748" s="11">
        <v>0.73</v>
      </c>
      <c r="C748">
        <f t="shared" si="36"/>
        <v>-79.190751445086704</v>
      </c>
      <c r="D748" s="8">
        <f t="shared" si="37"/>
        <v>-110.55423548808683</v>
      </c>
      <c r="E748" s="8">
        <f t="shared" si="37"/>
        <v>-106.99996629956223</v>
      </c>
      <c r="F748" s="8">
        <f t="shared" si="37"/>
        <v>-177.6722180033816</v>
      </c>
      <c r="G748" s="8">
        <f t="shared" si="37"/>
        <v>-155.34443600676323</v>
      </c>
      <c r="H748" s="8">
        <f t="shared" si="37"/>
        <v>-110.68887201352645</v>
      </c>
    </row>
    <row r="749" spans="1:8" x14ac:dyDescent="0.2">
      <c r="A749" s="11"/>
      <c r="B749" s="11">
        <v>0.73099999999999998</v>
      </c>
      <c r="C749">
        <f t="shared" si="36"/>
        <v>-79.260543038705947</v>
      </c>
      <c r="D749" s="8">
        <f t="shared" si="37"/>
        <v>-110.6911860012371</v>
      </c>
      <c r="E749" s="8">
        <f t="shared" si="37"/>
        <v>-107.10985937562968</v>
      </c>
      <c r="F749" s="8">
        <f t="shared" si="37"/>
        <v>-177.72376841651283</v>
      </c>
      <c r="G749" s="8">
        <f t="shared" si="37"/>
        <v>-155.44753683302565</v>
      </c>
      <c r="H749" s="8">
        <f t="shared" si="37"/>
        <v>-110.89507366605127</v>
      </c>
    </row>
    <row r="750" spans="1:8" x14ac:dyDescent="0.2">
      <c r="A750" s="11"/>
      <c r="B750" s="11">
        <v>0.73199999999999998</v>
      </c>
      <c r="C750">
        <f t="shared" si="36"/>
        <v>-79.330254041570441</v>
      </c>
      <c r="D750" s="8">
        <f t="shared" si="37"/>
        <v>-110.8278307723881</v>
      </c>
      <c r="E750" s="8">
        <f t="shared" si="37"/>
        <v>-107.21952054751847</v>
      </c>
      <c r="F750" s="8">
        <f t="shared" si="37"/>
        <v>-177.77517014090057</v>
      </c>
      <c r="G750" s="8">
        <f t="shared" si="37"/>
        <v>-155.55034028180114</v>
      </c>
      <c r="H750" s="8">
        <f t="shared" si="37"/>
        <v>-111.10068056360227</v>
      </c>
    </row>
    <row r="751" spans="1:8" x14ac:dyDescent="0.2">
      <c r="A751" s="11"/>
      <c r="B751" s="11">
        <v>0.73299999999999998</v>
      </c>
      <c r="C751">
        <f t="shared" si="36"/>
        <v>-79.399884593191004</v>
      </c>
      <c r="D751" s="8">
        <f t="shared" si="37"/>
        <v>-110.96417068917482</v>
      </c>
      <c r="E751" s="8">
        <f t="shared" si="37"/>
        <v>-107.32895048579306</v>
      </c>
      <c r="F751" s="8">
        <f t="shared" si="37"/>
        <v>-177.82642369089015</v>
      </c>
      <c r="G751" s="8">
        <f t="shared" si="37"/>
        <v>-155.6528473817803</v>
      </c>
      <c r="H751" s="8">
        <f t="shared" si="37"/>
        <v>-111.30569476356062</v>
      </c>
    </row>
    <row r="752" spans="1:8" x14ac:dyDescent="0.2">
      <c r="A752" s="11"/>
      <c r="B752" s="11">
        <v>0.73399999999999999</v>
      </c>
      <c r="C752">
        <f t="shared" si="36"/>
        <v>-79.469434832756633</v>
      </c>
      <c r="D752" s="8">
        <f t="shared" si="37"/>
        <v>-111.10020663607985</v>
      </c>
      <c r="E752" s="8">
        <f t="shared" si="37"/>
        <v>-107.43814985860786</v>
      </c>
      <c r="F752" s="8">
        <f t="shared" si="37"/>
        <v>-177.8775295787523</v>
      </c>
      <c r="G752" s="8">
        <f t="shared" si="37"/>
        <v>-155.7550591575046</v>
      </c>
      <c r="H752" s="8">
        <f t="shared" si="37"/>
        <v>-111.51011831500922</v>
      </c>
    </row>
    <row r="753" spans="1:8" x14ac:dyDescent="0.2">
      <c r="A753" s="11"/>
      <c r="B753" s="11">
        <v>0.73499999999999999</v>
      </c>
      <c r="C753">
        <f t="shared" si="36"/>
        <v>-79.538904899135431</v>
      </c>
      <c r="D753" s="8">
        <f t="shared" si="37"/>
        <v>-111.23593949444654</v>
      </c>
      <c r="E753" s="8">
        <f t="shared" si="37"/>
        <v>-107.54711933171733</v>
      </c>
      <c r="F753" s="8">
        <f t="shared" si="37"/>
        <v>-177.92848831469277</v>
      </c>
      <c r="G753" s="8">
        <f t="shared" si="37"/>
        <v>-155.85697662938554</v>
      </c>
      <c r="H753" s="8">
        <f t="shared" si="37"/>
        <v>-111.71395325877108</v>
      </c>
    </row>
    <row r="754" spans="1:8" x14ac:dyDescent="0.2">
      <c r="A754" s="11"/>
      <c r="B754" s="11">
        <v>0.73599999999999999</v>
      </c>
      <c r="C754">
        <f t="shared" si="36"/>
        <v>-79.608294930875573</v>
      </c>
      <c r="D754" s="8">
        <f t="shared" si="37"/>
        <v>-111.37137014249208</v>
      </c>
      <c r="E754" s="8">
        <f t="shared" si="37"/>
        <v>-107.65585956848639</v>
      </c>
      <c r="F754" s="8">
        <f t="shared" si="37"/>
        <v>-177.97930040686177</v>
      </c>
      <c r="G754" s="8">
        <f t="shared" si="37"/>
        <v>-155.95860081372356</v>
      </c>
      <c r="H754" s="8">
        <f t="shared" si="37"/>
        <v>-111.91720162744711</v>
      </c>
    </row>
    <row r="755" spans="1:8" x14ac:dyDescent="0.2">
      <c r="A755" s="11"/>
      <c r="B755" s="11">
        <v>0.73699999999999999</v>
      </c>
      <c r="C755">
        <f t="shared" si="36"/>
        <v>-79.677605066206112</v>
      </c>
      <c r="D755" s="8">
        <f t="shared" si="37"/>
        <v>-111.50649945532045</v>
      </c>
      <c r="E755" s="8">
        <f t="shared" si="37"/>
        <v>-107.76437122990026</v>
      </c>
      <c r="F755" s="8">
        <f t="shared" si="37"/>
        <v>-178.02996636136351</v>
      </c>
      <c r="G755" s="8">
        <f t="shared" si="37"/>
        <v>-156.05993272272701</v>
      </c>
      <c r="H755" s="8">
        <f t="shared" si="37"/>
        <v>-112.11986544545401</v>
      </c>
    </row>
    <row r="756" spans="1:8" x14ac:dyDescent="0.2">
      <c r="A756" s="11"/>
      <c r="B756" s="11">
        <v>0.73799999999999999</v>
      </c>
      <c r="C756">
        <f t="shared" si="36"/>
        <v>-79.74683544303798</v>
      </c>
      <c r="D756" s="8">
        <f t="shared" si="37"/>
        <v>-111.64132830493557</v>
      </c>
      <c r="E756" s="8">
        <f t="shared" si="37"/>
        <v>-107.87265497457487</v>
      </c>
      <c r="F756" s="8">
        <f t="shared" si="37"/>
        <v>-178.08048668226547</v>
      </c>
      <c r="G756" s="8">
        <f t="shared" si="37"/>
        <v>-156.16097336453095</v>
      </c>
      <c r="H756" s="8">
        <f t="shared" si="37"/>
        <v>-112.32194672906191</v>
      </c>
    </row>
    <row r="757" spans="1:8" x14ac:dyDescent="0.2">
      <c r="A757" s="11"/>
      <c r="B757" s="11">
        <v>0.73899999999999999</v>
      </c>
      <c r="C757">
        <f t="shared" si="36"/>
        <v>-79.815986198964907</v>
      </c>
      <c r="D757" s="8">
        <f t="shared" si="37"/>
        <v>-111.77585756025431</v>
      </c>
      <c r="E757" s="8">
        <f t="shared" si="37"/>
        <v>-107.98071145876672</v>
      </c>
      <c r="F757" s="8">
        <f t="shared" si="37"/>
        <v>-178.13086187160798</v>
      </c>
      <c r="G757" s="8">
        <f t="shared" si="37"/>
        <v>-156.26172374321598</v>
      </c>
      <c r="H757" s="8">
        <f t="shared" si="37"/>
        <v>-112.52344748643195</v>
      </c>
    </row>
    <row r="758" spans="1:8" x14ac:dyDescent="0.2">
      <c r="A758" s="11"/>
      <c r="B758" s="11">
        <v>0.74</v>
      </c>
      <c r="C758">
        <f t="shared" si="36"/>
        <v>-79.885057471264361</v>
      </c>
      <c r="D758" s="8">
        <f t="shared" si="37"/>
        <v>-111.91008808711909</v>
      </c>
      <c r="E758" s="8">
        <f t="shared" si="37"/>
        <v>-108.08854133638293</v>
      </c>
      <c r="F758" s="8">
        <f t="shared" si="37"/>
        <v>-178.18109242941335</v>
      </c>
      <c r="G758" s="8">
        <f t="shared" si="37"/>
        <v>-156.36218485882671</v>
      </c>
      <c r="H758" s="8">
        <f t="shared" si="37"/>
        <v>-112.72436971765339</v>
      </c>
    </row>
    <row r="759" spans="1:8" x14ac:dyDescent="0.2">
      <c r="A759" s="11"/>
      <c r="B759" s="11">
        <v>0.74099999999999999</v>
      </c>
      <c r="C759">
        <f t="shared" si="36"/>
        <v>-79.954049396898341</v>
      </c>
      <c r="D759" s="8">
        <f t="shared" si="37"/>
        <v>-112.04402074831096</v>
      </c>
      <c r="E759" s="8">
        <f t="shared" si="37"/>
        <v>-108.19614525899131</v>
      </c>
      <c r="F759" s="8">
        <f t="shared" si="37"/>
        <v>-178.23117885369516</v>
      </c>
      <c r="G759" s="8">
        <f t="shared" si="37"/>
        <v>-156.46235770739034</v>
      </c>
      <c r="H759" s="8">
        <f t="shared" si="37"/>
        <v>-112.92471541478066</v>
      </c>
    </row>
    <row r="760" spans="1:8" x14ac:dyDescent="0.2">
      <c r="A760" s="11"/>
      <c r="B760" s="11">
        <v>0.74199999999999999</v>
      </c>
      <c r="C760">
        <f t="shared" si="36"/>
        <v>-80.02296211251435</v>
      </c>
      <c r="D760" s="8">
        <f t="shared" si="37"/>
        <v>-112.17765640356211</v>
      </c>
      <c r="E760" s="8">
        <f t="shared" si="37"/>
        <v>-108.30352387582991</v>
      </c>
      <c r="F760" s="8">
        <f t="shared" si="37"/>
        <v>-178.28112164046757</v>
      </c>
      <c r="G760" s="8">
        <f t="shared" si="37"/>
        <v>-156.56224328093512</v>
      </c>
      <c r="H760" s="8">
        <f t="shared" si="37"/>
        <v>-113.12448656187026</v>
      </c>
    </row>
    <row r="761" spans="1:8" x14ac:dyDescent="0.2">
      <c r="A761" s="11"/>
      <c r="B761" s="11">
        <v>0.74299999999999999</v>
      </c>
      <c r="C761">
        <f t="shared" si="36"/>
        <v>-80.091795754446352</v>
      </c>
      <c r="D761" s="8">
        <f t="shared" si="37"/>
        <v>-112.31099590956889</v>
      </c>
      <c r="E761" s="8">
        <f t="shared" si="37"/>
        <v>-108.41067783381733</v>
      </c>
      <c r="F761" s="8">
        <f t="shared" si="37"/>
        <v>-178.33092128375438</v>
      </c>
      <c r="G761" s="8">
        <f t="shared" si="37"/>
        <v>-156.66184256750876</v>
      </c>
      <c r="H761" s="8">
        <f t="shared" si="37"/>
        <v>-113.3236851350175</v>
      </c>
    </row>
    <row r="762" spans="1:8" x14ac:dyDescent="0.2">
      <c r="A762" s="11"/>
      <c r="B762" s="11">
        <v>0.74399999999999999</v>
      </c>
      <c r="C762">
        <f t="shared" si="36"/>
        <v>-80.160550458715591</v>
      </c>
      <c r="D762" s="8">
        <f t="shared" si="37"/>
        <v>-112.44404012000412</v>
      </c>
      <c r="E762" s="8">
        <f t="shared" si="37"/>
        <v>-108.51760777756238</v>
      </c>
      <c r="F762" s="8">
        <f t="shared" si="37"/>
        <v>-178.38057827559825</v>
      </c>
      <c r="G762" s="8">
        <f t="shared" si="37"/>
        <v>-156.76115655119651</v>
      </c>
      <c r="H762" s="8">
        <f t="shared" si="37"/>
        <v>-113.52231310239299</v>
      </c>
    </row>
    <row r="763" spans="1:8" x14ac:dyDescent="0.2">
      <c r="A763" s="11"/>
      <c r="B763" s="11">
        <v>0.745</v>
      </c>
      <c r="C763">
        <f t="shared" si="36"/>
        <v>-80.229226361031522</v>
      </c>
      <c r="D763" s="8">
        <f t="shared" si="37"/>
        <v>-112.57678988552981</v>
      </c>
      <c r="E763" s="8">
        <f t="shared" si="37"/>
        <v>-108.62431434937353</v>
      </c>
      <c r="F763" s="8">
        <f t="shared" si="37"/>
        <v>-178.43009310606971</v>
      </c>
      <c r="G763" s="8">
        <f t="shared" si="37"/>
        <v>-156.86018621213938</v>
      </c>
      <c r="H763" s="8">
        <f t="shared" si="37"/>
        <v>-113.72037242427878</v>
      </c>
    </row>
    <row r="764" spans="1:8" x14ac:dyDescent="0.2">
      <c r="A764" s="11"/>
      <c r="B764" s="11">
        <v>0.746</v>
      </c>
      <c r="C764">
        <f t="shared" si="36"/>
        <v>-80.297823596792668</v>
      </c>
      <c r="D764" s="8">
        <f t="shared" si="37"/>
        <v>-112.70924605380964</v>
      </c>
      <c r="E764" s="8">
        <f t="shared" si="37"/>
        <v>-108.73079818926909</v>
      </c>
      <c r="F764" s="8">
        <f t="shared" si="37"/>
        <v>-178.47946626327612</v>
      </c>
      <c r="G764" s="8">
        <f t="shared" si="37"/>
        <v>-156.95893252655225</v>
      </c>
      <c r="H764" s="8">
        <f t="shared" si="37"/>
        <v>-113.91786505310452</v>
      </c>
    </row>
    <row r="765" spans="1:8" x14ac:dyDescent="0.2">
      <c r="A765" s="11"/>
      <c r="B765" s="11">
        <v>0.747</v>
      </c>
      <c r="C765">
        <f t="shared" si="36"/>
        <v>-80.36634230108757</v>
      </c>
      <c r="D765" s="8">
        <f t="shared" si="37"/>
        <v>-112.84140946952142</v>
      </c>
      <c r="E765" s="8">
        <f t="shared" si="37"/>
        <v>-108.8370599349866</v>
      </c>
      <c r="F765" s="8">
        <f t="shared" si="37"/>
        <v>-178.5286982333709</v>
      </c>
      <c r="G765" s="8">
        <f t="shared" si="37"/>
        <v>-157.05739646674181</v>
      </c>
      <c r="H765" s="8">
        <f t="shared" si="37"/>
        <v>-114.11479293348364</v>
      </c>
    </row>
    <row r="766" spans="1:8" x14ac:dyDescent="0.2">
      <c r="A766" s="11"/>
      <c r="B766" s="11">
        <v>0.748</v>
      </c>
      <c r="C766">
        <f t="shared" si="36"/>
        <v>-80.434782608695656</v>
      </c>
      <c r="D766" s="8">
        <f t="shared" si="37"/>
        <v>-112.97328097436956</v>
      </c>
      <c r="E766" s="8">
        <f t="shared" si="37"/>
        <v>-108.94310022199255</v>
      </c>
      <c r="F766" s="8">
        <f t="shared" si="37"/>
        <v>-178.5777895005622</v>
      </c>
      <c r="G766" s="8">
        <f t="shared" si="37"/>
        <v>-157.15557900112441</v>
      </c>
      <c r="H766" s="8">
        <f t="shared" si="37"/>
        <v>-114.31115800224885</v>
      </c>
    </row>
    <row r="767" spans="1:8" x14ac:dyDescent="0.2">
      <c r="A767" s="11"/>
      <c r="B767" s="11">
        <v>0.749</v>
      </c>
      <c r="C767">
        <f t="shared" si="36"/>
        <v>-80.503144654088061</v>
      </c>
      <c r="D767" s="8">
        <f t="shared" si="37"/>
        <v>-113.10486140709718</v>
      </c>
      <c r="E767" s="8">
        <f t="shared" si="37"/>
        <v>-109.0489196834918</v>
      </c>
      <c r="F767" s="8">
        <f t="shared" si="37"/>
        <v>-178.6267405471219</v>
      </c>
      <c r="G767" s="8">
        <f t="shared" si="37"/>
        <v>-157.2534810942438</v>
      </c>
      <c r="H767" s="8">
        <f t="shared" si="37"/>
        <v>-114.50696218848758</v>
      </c>
    </row>
    <row r="768" spans="1:8" x14ac:dyDescent="0.2">
      <c r="A768" s="11"/>
      <c r="B768" s="11">
        <v>0.75</v>
      </c>
      <c r="C768">
        <f t="shared" si="36"/>
        <v>-80.571428571428569</v>
      </c>
      <c r="D768" s="8">
        <f t="shared" si="37"/>
        <v>-113.23615160349854</v>
      </c>
      <c r="E768" s="8">
        <f t="shared" si="37"/>
        <v>-109.15451895043731</v>
      </c>
      <c r="F768" s="8">
        <f t="shared" si="37"/>
        <v>-178.67555185339441</v>
      </c>
      <c r="G768" s="8">
        <f t="shared" si="37"/>
        <v>-157.35110370678885</v>
      </c>
      <c r="H768" s="8">
        <f t="shared" si="37"/>
        <v>-114.70220741357768</v>
      </c>
    </row>
    <row r="769" spans="1:8" x14ac:dyDescent="0.2">
      <c r="A769" s="11"/>
      <c r="B769" s="11">
        <v>0.751</v>
      </c>
      <c r="C769">
        <f t="shared" si="36"/>
        <v>-80.639634494574523</v>
      </c>
      <c r="D769" s="8">
        <f t="shared" si="37"/>
        <v>-113.36715239643138</v>
      </c>
      <c r="E769" s="8">
        <f t="shared" si="37"/>
        <v>-109.25989865153961</v>
      </c>
      <c r="F769" s="8">
        <f t="shared" si="37"/>
        <v>-178.72422389780562</v>
      </c>
      <c r="G769" s="8">
        <f t="shared" si="37"/>
        <v>-157.4484477956112</v>
      </c>
      <c r="H769" s="8">
        <f t="shared" si="37"/>
        <v>-114.89689559122242</v>
      </c>
    </row>
    <row r="770" spans="1:8" x14ac:dyDescent="0.2">
      <c r="A770" s="11"/>
      <c r="B770" s="11">
        <v>0.752</v>
      </c>
      <c r="C770">
        <f t="shared" si="36"/>
        <v>-80.707762557077629</v>
      </c>
      <c r="D770" s="8">
        <f t="shared" si="37"/>
        <v>-113.4978646158288</v>
      </c>
      <c r="E770" s="8">
        <f t="shared" si="37"/>
        <v>-109.36505941327603</v>
      </c>
      <c r="F770" s="8">
        <f t="shared" si="37"/>
        <v>-178.77275715687139</v>
      </c>
      <c r="G770" s="8">
        <f t="shared" si="37"/>
        <v>-157.54551431374279</v>
      </c>
      <c r="H770" s="8">
        <f t="shared" si="37"/>
        <v>-115.09102862748556</v>
      </c>
    </row>
    <row r="771" spans="1:8" x14ac:dyDescent="0.2">
      <c r="A771" s="11"/>
      <c r="B771" s="11">
        <v>0.753</v>
      </c>
      <c r="C771">
        <f t="shared" si="36"/>
        <v>-80.775812892184831</v>
      </c>
      <c r="D771" s="8">
        <f t="shared" si="37"/>
        <v>-113.62828908871155</v>
      </c>
      <c r="E771" s="8">
        <f t="shared" si="37"/>
        <v>-109.47000185990028</v>
      </c>
      <c r="F771" s="8">
        <f t="shared" si="37"/>
        <v>-178.82115210520655</v>
      </c>
      <c r="G771" s="8">
        <f t="shared" si="37"/>
        <v>-157.64230421041307</v>
      </c>
      <c r="H771" s="8">
        <f t="shared" si="37"/>
        <v>-115.28460842082616</v>
      </c>
    </row>
    <row r="772" spans="1:8" x14ac:dyDescent="0.2">
      <c r="A772" s="11"/>
      <c r="B772" s="11">
        <v>0.754</v>
      </c>
      <c r="C772">
        <f t="shared" si="36"/>
        <v>-80.843785632839229</v>
      </c>
      <c r="D772" s="8">
        <f t="shared" si="37"/>
        <v>-113.75842663919997</v>
      </c>
      <c r="E772" s="8">
        <f t="shared" si="37"/>
        <v>-109.57472661345169</v>
      </c>
      <c r="F772" s="8">
        <f t="shared" si="37"/>
        <v>-178.8694092155333</v>
      </c>
      <c r="G772" s="8">
        <f t="shared" si="37"/>
        <v>-157.73881843106656</v>
      </c>
      <c r="H772" s="8">
        <f t="shared" si="37"/>
        <v>-115.47763686213314</v>
      </c>
    </row>
    <row r="773" spans="1:8" x14ac:dyDescent="0.2">
      <c r="A773" s="11"/>
      <c r="B773" s="11">
        <v>0.755</v>
      </c>
      <c r="C773">
        <f t="shared" si="36"/>
        <v>-80.911680911680904</v>
      </c>
      <c r="D773" s="8">
        <f t="shared" si="37"/>
        <v>-113.88827808852609</v>
      </c>
      <c r="E773" s="8">
        <f t="shared" si="37"/>
        <v>-109.67923429376465</v>
      </c>
      <c r="F773" s="8">
        <f t="shared" si="37"/>
        <v>-178.91752895869001</v>
      </c>
      <c r="G773" s="8">
        <f t="shared" si="37"/>
        <v>-157.83505791738</v>
      </c>
      <c r="H773" s="8">
        <f t="shared" si="37"/>
        <v>-115.67011583476001</v>
      </c>
    </row>
    <row r="774" spans="1:8" x14ac:dyDescent="0.2">
      <c r="A774" s="11"/>
      <c r="B774" s="11">
        <v>0.75600000000000001</v>
      </c>
      <c r="C774">
        <f t="shared" si="36"/>
        <v>-80.97949886104783</v>
      </c>
      <c r="D774" s="8">
        <f t="shared" si="37"/>
        <v>-114.01784425504545</v>
      </c>
      <c r="E774" s="8">
        <f t="shared" si="37"/>
        <v>-109.78352551847772</v>
      </c>
      <c r="F774" s="8">
        <f t="shared" si="37"/>
        <v>-178.96551180363974</v>
      </c>
      <c r="G774" s="8">
        <f t="shared" si="37"/>
        <v>-157.93102360727949</v>
      </c>
      <c r="H774" s="8">
        <f t="shared" si="37"/>
        <v>-115.86204721455898</v>
      </c>
    </row>
    <row r="775" spans="1:8" x14ac:dyDescent="0.2">
      <c r="A775" s="11"/>
      <c r="B775" s="11">
        <v>0.75700000000000001</v>
      </c>
      <c r="C775">
        <f t="shared" si="36"/>
        <v>-81.047239612976668</v>
      </c>
      <c r="D775" s="8">
        <f t="shared" si="37"/>
        <v>-114.14712595424899</v>
      </c>
      <c r="E775" s="8">
        <f t="shared" si="37"/>
        <v>-109.88760090304284</v>
      </c>
      <c r="F775" s="8">
        <f t="shared" si="37"/>
        <v>-179.01335821747875</v>
      </c>
      <c r="G775" s="8">
        <f t="shared" si="37"/>
        <v>-158.02671643495754</v>
      </c>
      <c r="H775" s="8">
        <f t="shared" si="37"/>
        <v>-116.05343286991506</v>
      </c>
    </row>
    <row r="776" spans="1:8" x14ac:dyDescent="0.2">
      <c r="A776" s="11"/>
      <c r="B776" s="11">
        <v>0.75800000000000001</v>
      </c>
      <c r="C776">
        <f t="shared" si="36"/>
        <v>-81.114903299203647</v>
      </c>
      <c r="D776" s="8">
        <f t="shared" si="37"/>
        <v>-114.27612399877479</v>
      </c>
      <c r="E776" s="8">
        <f t="shared" si="37"/>
        <v>-109.99146106073457</v>
      </c>
      <c r="F776" s="8">
        <f t="shared" si="37"/>
        <v>-179.06106866544502</v>
      </c>
      <c r="G776" s="8">
        <f t="shared" si="37"/>
        <v>-158.12213733089004</v>
      </c>
      <c r="H776" s="8">
        <f t="shared" si="37"/>
        <v>-116.24427466178005</v>
      </c>
    </row>
    <row r="777" spans="1:8" x14ac:dyDescent="0.2">
      <c r="A777" s="11"/>
      <c r="B777" s="11">
        <v>0.75900000000000001</v>
      </c>
      <c r="C777">
        <f t="shared" si="36"/>
        <v>-81.182490051165431</v>
      </c>
      <c r="D777" s="8">
        <f t="shared" si="37"/>
        <v>-114.40483919842018</v>
      </c>
      <c r="E777" s="8">
        <f t="shared" si="37"/>
        <v>-110.09510660265919</v>
      </c>
      <c r="F777" s="8">
        <f t="shared" si="37"/>
        <v>-179.10864361092661</v>
      </c>
      <c r="G777" s="8">
        <f t="shared" si="37"/>
        <v>-158.21728722185324</v>
      </c>
      <c r="H777" s="8">
        <f t="shared" si="37"/>
        <v>-116.43457444370648</v>
      </c>
    </row>
    <row r="778" spans="1:8" x14ac:dyDescent="0.2">
      <c r="A778" s="11"/>
      <c r="B778" s="11">
        <v>0.76</v>
      </c>
      <c r="C778">
        <f t="shared" si="36"/>
        <v>-81.25</v>
      </c>
      <c r="D778" s="8">
        <f t="shared" si="37"/>
        <v>-114.53327236015299</v>
      </c>
      <c r="E778" s="8">
        <f t="shared" si="37"/>
        <v>-110.1985381377638</v>
      </c>
      <c r="F778" s="8">
        <f t="shared" si="37"/>
        <v>-179.15608351547024</v>
      </c>
      <c r="G778" s="8">
        <f t="shared" si="37"/>
        <v>-158.31216703094051</v>
      </c>
      <c r="H778" s="8">
        <f t="shared" si="37"/>
        <v>-116.62433406188102</v>
      </c>
    </row>
    <row r="779" spans="1:8" x14ac:dyDescent="0.2">
      <c r="A779" s="11"/>
      <c r="B779" s="11">
        <v>0.76100000000000001</v>
      </c>
      <c r="C779">
        <f t="shared" si="36"/>
        <v>-81.317433276547419</v>
      </c>
      <c r="D779" s="8">
        <f t="shared" si="37"/>
        <v>-114.66142428812341</v>
      </c>
      <c r="E779" s="8">
        <f t="shared" si="37"/>
        <v>-110.3017562728453</v>
      </c>
      <c r="F779" s="8">
        <f t="shared" si="37"/>
        <v>-179.20338883878949</v>
      </c>
      <c r="G779" s="8">
        <f t="shared" si="37"/>
        <v>-158.40677767757899</v>
      </c>
      <c r="H779" s="8">
        <f t="shared" si="37"/>
        <v>-116.81355535515794</v>
      </c>
    </row>
    <row r="780" spans="1:8" x14ac:dyDescent="0.2">
      <c r="A780" s="11"/>
      <c r="B780" s="11">
        <v>0.76200000000000001</v>
      </c>
      <c r="C780">
        <f t="shared" si="36"/>
        <v>-81.384790011350745</v>
      </c>
      <c r="D780" s="8">
        <f t="shared" si="37"/>
        <v>-114.78929578367556</v>
      </c>
      <c r="E780" s="8">
        <f t="shared" si="37"/>
        <v>-110.40476161255933</v>
      </c>
      <c r="F780" s="8">
        <f t="shared" si="37"/>
        <v>-179.2505600387731</v>
      </c>
      <c r="G780" s="8">
        <f t="shared" si="37"/>
        <v>-158.50112007754618</v>
      </c>
      <c r="H780" s="8">
        <f t="shared" si="37"/>
        <v>-117.00224015509237</v>
      </c>
    </row>
    <row r="781" spans="1:8" x14ac:dyDescent="0.2">
      <c r="A781" s="11"/>
      <c r="B781" s="11">
        <v>0.76300000000000001</v>
      </c>
      <c r="C781">
        <f t="shared" si="36"/>
        <v>-81.452070334656824</v>
      </c>
      <c r="D781" s="8">
        <f t="shared" si="37"/>
        <v>-114.91688764535905</v>
      </c>
      <c r="E781" s="8">
        <f t="shared" si="37"/>
        <v>-110.50755475942938</v>
      </c>
      <c r="F781" s="8">
        <f t="shared" si="37"/>
        <v>-179.29759757149338</v>
      </c>
      <c r="G781" s="8">
        <f t="shared" si="37"/>
        <v>-158.59519514298677</v>
      </c>
      <c r="H781" s="8">
        <f t="shared" si="37"/>
        <v>-117.19039028597352</v>
      </c>
    </row>
    <row r="782" spans="1:8" x14ac:dyDescent="0.2">
      <c r="A782" s="11"/>
      <c r="B782" s="11">
        <v>0.76400000000000001</v>
      </c>
      <c r="C782">
        <f t="shared" si="36"/>
        <v>-81.519274376417229</v>
      </c>
      <c r="D782" s="8">
        <f t="shared" si="37"/>
        <v>-115.04420066894053</v>
      </c>
      <c r="E782" s="8">
        <f t="shared" si="37"/>
        <v>-110.61013631385561</v>
      </c>
      <c r="F782" s="8">
        <f t="shared" si="37"/>
        <v>-179.34450189121438</v>
      </c>
      <c r="G782" s="8">
        <f t="shared" si="37"/>
        <v>-158.68900378242876</v>
      </c>
      <c r="H782" s="8">
        <f t="shared" si="37"/>
        <v>-117.37800756485754</v>
      </c>
    </row>
    <row r="783" spans="1:8" x14ac:dyDescent="0.2">
      <c r="A783" s="11"/>
      <c r="B783" s="11">
        <v>0.76500000000000001</v>
      </c>
      <c r="C783">
        <f t="shared" si="36"/>
        <v>-81.586402266288957</v>
      </c>
      <c r="D783" s="8">
        <f t="shared" si="37"/>
        <v>-115.17123564741492</v>
      </c>
      <c r="E783" s="8">
        <f t="shared" si="37"/>
        <v>-110.71250687412368</v>
      </c>
      <c r="F783" s="8">
        <f t="shared" si="37"/>
        <v>-179.39127345040004</v>
      </c>
      <c r="G783" s="8">
        <f t="shared" si="37"/>
        <v>-158.78254690080004</v>
      </c>
      <c r="H783" s="8">
        <f t="shared" si="37"/>
        <v>-117.56509380160009</v>
      </c>
    </row>
    <row r="784" spans="1:8" x14ac:dyDescent="0.2">
      <c r="A784" s="11"/>
      <c r="B784" s="11">
        <v>0.76600000000000001</v>
      </c>
      <c r="C784">
        <f t="shared" si="36"/>
        <v>-81.653454133635336</v>
      </c>
      <c r="D784" s="8">
        <f t="shared" si="37"/>
        <v>-115.29799337101689</v>
      </c>
      <c r="E784" s="8">
        <f t="shared" si="37"/>
        <v>-110.81466703641351</v>
      </c>
      <c r="F784" s="8">
        <f t="shared" si="37"/>
        <v>-179.43791269972229</v>
      </c>
      <c r="G784" s="8">
        <f t="shared" si="37"/>
        <v>-158.87582539944458</v>
      </c>
      <c r="H784" s="8">
        <f t="shared" si="37"/>
        <v>-117.75165079888916</v>
      </c>
    </row>
    <row r="785" spans="1:8" x14ac:dyDescent="0.2">
      <c r="A785" s="11"/>
      <c r="B785" s="11">
        <v>0.76700000000000002</v>
      </c>
      <c r="C785">
        <f t="shared" si="36"/>
        <v>-81.72043010752688</v>
      </c>
      <c r="D785" s="8">
        <f t="shared" si="37"/>
        <v>-115.42447462723226</v>
      </c>
      <c r="E785" s="8">
        <f t="shared" si="37"/>
        <v>-110.91661739480827</v>
      </c>
      <c r="F785" s="8">
        <f t="shared" si="37"/>
        <v>-179.48442008806938</v>
      </c>
      <c r="G785" s="8">
        <f t="shared" si="37"/>
        <v>-158.96884017613877</v>
      </c>
      <c r="H785" s="8">
        <f t="shared" si="37"/>
        <v>-117.93768035227755</v>
      </c>
    </row>
    <row r="786" spans="1:8" x14ac:dyDescent="0.2">
      <c r="A786" s="11"/>
      <c r="B786" s="11">
        <v>0.76800000000000002</v>
      </c>
      <c r="C786">
        <f t="shared" si="36"/>
        <v>-81.787330316742086</v>
      </c>
      <c r="D786" s="8">
        <f t="shared" si="37"/>
        <v>-115.5506802008092</v>
      </c>
      <c r="E786" s="8">
        <f t="shared" si="37"/>
        <v>-111.01835854130292</v>
      </c>
      <c r="F786" s="8">
        <f t="shared" si="37"/>
        <v>-179.53079606255372</v>
      </c>
      <c r="G786" s="8">
        <f t="shared" si="37"/>
        <v>-159.06159212510744</v>
      </c>
      <c r="H786" s="8">
        <f t="shared" si="37"/>
        <v>-118.12318425021485</v>
      </c>
    </row>
    <row r="787" spans="1:8" x14ac:dyDescent="0.2">
      <c r="A787" s="11"/>
      <c r="B787" s="11">
        <v>0.76900000000000002</v>
      </c>
      <c r="C787">
        <f t="shared" si="36"/>
        <v>-81.854154889768239</v>
      </c>
      <c r="D787" s="8">
        <f t="shared" si="37"/>
        <v>-115.67661087376936</v>
      </c>
      <c r="E787" s="8">
        <f t="shared" si="37"/>
        <v>-111.11989106581299</v>
      </c>
      <c r="F787" s="8">
        <f t="shared" si="37"/>
        <v>-179.57704106851992</v>
      </c>
      <c r="G787" s="8">
        <f t="shared" si="37"/>
        <v>-159.15408213703986</v>
      </c>
      <c r="H787" s="8">
        <f t="shared" si="37"/>
        <v>-118.30816427407972</v>
      </c>
    </row>
    <row r="788" spans="1:8" x14ac:dyDescent="0.2">
      <c r="A788" s="11"/>
      <c r="B788" s="11">
        <v>0.77</v>
      </c>
      <c r="C788">
        <f t="shared" ref="C788:C851" si="38">$C$5+$C$6/(1+$B788)</f>
        <v>-81.920903954802256</v>
      </c>
      <c r="D788" s="8">
        <f t="shared" si="37"/>
        <v>-115.80226742541926</v>
      </c>
      <c r="E788" s="8">
        <f t="shared" si="37"/>
        <v>-111.2212155561831</v>
      </c>
      <c r="F788" s="8">
        <f t="shared" si="37"/>
        <v>-179.62315554955296</v>
      </c>
      <c r="G788" s="8">
        <f t="shared" si="37"/>
        <v>-159.2463110991059</v>
      </c>
      <c r="H788" s="8">
        <f t="shared" si="37"/>
        <v>-118.49262219821179</v>
      </c>
    </row>
    <row r="789" spans="1:8" x14ac:dyDescent="0.2">
      <c r="A789" s="11"/>
      <c r="B789" s="11">
        <v>0.77100000000000002</v>
      </c>
      <c r="C789">
        <f t="shared" si="38"/>
        <v>-81.987577639751549</v>
      </c>
      <c r="D789" s="8">
        <f t="shared" si="37"/>
        <v>-115.92765063236108</v>
      </c>
      <c r="E789" s="8">
        <f t="shared" si="37"/>
        <v>-111.32233259819584</v>
      </c>
      <c r="F789" s="8">
        <f t="shared" si="37"/>
        <v>-179.66913994748586</v>
      </c>
      <c r="G789" s="8">
        <f t="shared" si="37"/>
        <v>-159.33827989497172</v>
      </c>
      <c r="H789" s="8">
        <f t="shared" si="37"/>
        <v>-118.67655978994344</v>
      </c>
    </row>
    <row r="790" spans="1:8" x14ac:dyDescent="0.2">
      <c r="A790" s="11"/>
      <c r="B790" s="11">
        <v>0.77200000000000002</v>
      </c>
      <c r="C790">
        <f t="shared" si="38"/>
        <v>-82.054176072234768</v>
      </c>
      <c r="D790" s="8">
        <f t="shared" si="37"/>
        <v>-116.05276126850407</v>
      </c>
      <c r="E790" s="8">
        <f t="shared" si="37"/>
        <v>-111.42324277558009</v>
      </c>
      <c r="F790" s="8">
        <f t="shared" si="37"/>
        <v>-179.71499470240786</v>
      </c>
      <c r="G790" s="8">
        <f t="shared" si="37"/>
        <v>-159.42998940481576</v>
      </c>
      <c r="H790" s="8">
        <f t="shared" si="37"/>
        <v>-118.8599788096315</v>
      </c>
    </row>
    <row r="791" spans="1:8" x14ac:dyDescent="0.2">
      <c r="A791" s="11"/>
      <c r="B791" s="11">
        <v>0.77300000000000002</v>
      </c>
      <c r="C791">
        <f t="shared" si="38"/>
        <v>-82.120699379582632</v>
      </c>
      <c r="D791" s="8">
        <f t="shared" si="37"/>
        <v>-116.17760010507526</v>
      </c>
      <c r="E791" s="8">
        <f t="shared" si="37"/>
        <v>-111.52394667001967</v>
      </c>
      <c r="F791" s="8">
        <f t="shared" si="37"/>
        <v>-179.76072025267212</v>
      </c>
      <c r="G791" s="8">
        <f t="shared" si="37"/>
        <v>-159.5214405053442</v>
      </c>
      <c r="H791" s="8">
        <f t="shared" si="37"/>
        <v>-119.0428810106884</v>
      </c>
    </row>
    <row r="792" spans="1:8" x14ac:dyDescent="0.2">
      <c r="A792" s="11"/>
      <c r="B792" s="11">
        <v>0.77400000000000002</v>
      </c>
      <c r="C792">
        <f t="shared" si="38"/>
        <v>-82.187147688838778</v>
      </c>
      <c r="D792" s="8">
        <f t="shared" si="37"/>
        <v>-116.30216791063052</v>
      </c>
      <c r="E792" s="8">
        <f t="shared" si="37"/>
        <v>-111.62444486116169</v>
      </c>
      <c r="F792" s="8">
        <f t="shared" si="37"/>
        <v>-179.80631703490343</v>
      </c>
      <c r="G792" s="8">
        <f t="shared" si="37"/>
        <v>-159.61263406980686</v>
      </c>
      <c r="H792" s="8">
        <f t="shared" si="37"/>
        <v>-119.22526813961375</v>
      </c>
    </row>
    <row r="793" spans="1:8" x14ac:dyDescent="0.2">
      <c r="A793" s="11"/>
      <c r="B793" s="11">
        <v>0.77500000000000002</v>
      </c>
      <c r="C793">
        <f t="shared" si="38"/>
        <v>-82.25352112676056</v>
      </c>
      <c r="D793" s="8">
        <f t="shared" si="37"/>
        <v>-116.4264654510656</v>
      </c>
      <c r="E793" s="8">
        <f t="shared" si="37"/>
        <v>-111.72473792662517</v>
      </c>
      <c r="F793" s="8">
        <f t="shared" si="37"/>
        <v>-179.85178548400634</v>
      </c>
      <c r="G793" s="8">
        <f t="shared" si="37"/>
        <v>-159.70357096801268</v>
      </c>
      <c r="H793" s="8">
        <f t="shared" si="37"/>
        <v>-119.4071419360254</v>
      </c>
    </row>
    <row r="794" spans="1:8" x14ac:dyDescent="0.2">
      <c r="A794" s="11"/>
      <c r="B794" s="11">
        <v>0.77600000000000002</v>
      </c>
      <c r="C794">
        <f t="shared" si="38"/>
        <v>-82.319819819819827</v>
      </c>
      <c r="D794" s="8">
        <f t="shared" si="37"/>
        <v>-116.55049348962676</v>
      </c>
      <c r="E794" s="8">
        <f t="shared" si="37"/>
        <v>-111.82482644200937</v>
      </c>
      <c r="F794" s="8">
        <f t="shared" si="37"/>
        <v>-179.89712603317258</v>
      </c>
      <c r="G794" s="8">
        <f t="shared" si="37"/>
        <v>-159.79425206634519</v>
      </c>
      <c r="H794" s="8">
        <f t="shared" si="37"/>
        <v>-119.58850413269039</v>
      </c>
    </row>
    <row r="795" spans="1:8" x14ac:dyDescent="0.2">
      <c r="A795" s="11"/>
      <c r="B795" s="11">
        <v>0.77700000000000002</v>
      </c>
      <c r="C795">
        <f t="shared" si="38"/>
        <v>-82.386043894203723</v>
      </c>
      <c r="D795" s="8">
        <f t="shared" si="37"/>
        <v>-116.67425278692168</v>
      </c>
      <c r="E795" s="8">
        <f t="shared" si="37"/>
        <v>-111.92471098090215</v>
      </c>
      <c r="F795" s="8">
        <f t="shared" si="37"/>
        <v>-179.94233911388895</v>
      </c>
      <c r="G795" s="8">
        <f t="shared" si="37"/>
        <v>-159.8846782277779</v>
      </c>
      <c r="H795" s="8">
        <f t="shared" si="37"/>
        <v>-119.76935645555577</v>
      </c>
    </row>
    <row r="796" spans="1:8" x14ac:dyDescent="0.2">
      <c r="A796" s="11"/>
      <c r="B796" s="11">
        <v>0.77800000000000002</v>
      </c>
      <c r="C796">
        <f t="shared" si="38"/>
        <v>-82.45219347581552</v>
      </c>
      <c r="D796" s="8">
        <f t="shared" si="37"/>
        <v>-116.79774410093022</v>
      </c>
      <c r="E796" s="8">
        <f t="shared" si="37"/>
        <v>-112.0243921148883</v>
      </c>
      <c r="F796" s="8">
        <f t="shared" si="37"/>
        <v>-179.98742515594478</v>
      </c>
      <c r="G796" s="8">
        <f t="shared" si="37"/>
        <v>-159.97485031188955</v>
      </c>
      <c r="H796" s="8">
        <f t="shared" si="37"/>
        <v>-119.94970062377911</v>
      </c>
    </row>
    <row r="797" spans="1:8" x14ac:dyDescent="0.2">
      <c r="A797" s="11"/>
      <c r="B797" s="11">
        <v>0.77900000000000003</v>
      </c>
      <c r="C797">
        <f t="shared" si="38"/>
        <v>-82.518268690275434</v>
      </c>
      <c r="D797" s="8">
        <f t="shared" ref="D797:H847" si="39">$D$5+(D$6/(1+$B797))+(D$7/(1+$B797)^2)+(D$8/(1+$B797)^3)+(D$9/(1+$B797)^4)</f>
        <v>-116.92096818701508</v>
      </c>
      <c r="E797" s="8">
        <f t="shared" si="39"/>
        <v>-112.1238704135578</v>
      </c>
      <c r="F797" s="8">
        <f t="shared" si="39"/>
        <v>-180.03238458743982</v>
      </c>
      <c r="G797" s="8">
        <f t="shared" si="39"/>
        <v>-160.06476917487964</v>
      </c>
      <c r="H797" s="8">
        <f t="shared" si="39"/>
        <v>-120.12953834975931</v>
      </c>
    </row>
    <row r="798" spans="1:8" x14ac:dyDescent="0.2">
      <c r="A798" s="11"/>
      <c r="B798" s="11">
        <v>0.78</v>
      </c>
      <c r="C798">
        <f t="shared" si="38"/>
        <v>-82.584269662921344</v>
      </c>
      <c r="D798" s="8">
        <f t="shared" si="39"/>
        <v>-117.04392579793253</v>
      </c>
      <c r="E798" s="8">
        <f t="shared" si="39"/>
        <v>-112.22314644451414</v>
      </c>
      <c r="F798" s="8">
        <f t="shared" si="39"/>
        <v>-180.07721783479172</v>
      </c>
      <c r="G798" s="8">
        <f t="shared" si="39"/>
        <v>-160.15443566958345</v>
      </c>
      <c r="H798" s="8">
        <f t="shared" si="39"/>
        <v>-120.30887133916687</v>
      </c>
    </row>
    <row r="799" spans="1:8" x14ac:dyDescent="0.2">
      <c r="A799" s="11"/>
      <c r="B799" s="11">
        <v>0.78100000000000003</v>
      </c>
      <c r="C799">
        <f t="shared" si="38"/>
        <v>-82.650196518809665</v>
      </c>
      <c r="D799" s="8">
        <f t="shared" si="39"/>
        <v>-117.16661768384289</v>
      </c>
      <c r="E799" s="8">
        <f t="shared" si="39"/>
        <v>-112.32222077338253</v>
      </c>
      <c r="F799" s="8">
        <f t="shared" si="39"/>
        <v>-180.12192532274344</v>
      </c>
      <c r="G799" s="8">
        <f t="shared" si="39"/>
        <v>-160.24385064548687</v>
      </c>
      <c r="H799" s="8">
        <f t="shared" si="39"/>
        <v>-120.48770129097377</v>
      </c>
    </row>
    <row r="800" spans="1:8" x14ac:dyDescent="0.2">
      <c r="A800" s="11"/>
      <c r="B800" s="11">
        <v>0.78200000000000003</v>
      </c>
      <c r="C800">
        <f t="shared" si="38"/>
        <v>-82.716049382716051</v>
      </c>
      <c r="D800" s="8">
        <f t="shared" si="39"/>
        <v>-117.28904459232112</v>
      </c>
      <c r="E800" s="8">
        <f t="shared" si="39"/>
        <v>-112.4210939638178</v>
      </c>
      <c r="F800" s="8">
        <f t="shared" si="39"/>
        <v>-180.16650747437097</v>
      </c>
      <c r="G800" s="8">
        <f t="shared" si="39"/>
        <v>-160.33301494874195</v>
      </c>
      <c r="H800" s="8">
        <f t="shared" si="39"/>
        <v>-120.66602989748388</v>
      </c>
    </row>
    <row r="801" spans="1:8" x14ac:dyDescent="0.2">
      <c r="A801" s="11"/>
      <c r="B801" s="11">
        <v>0.78300000000000003</v>
      </c>
      <c r="C801">
        <f t="shared" si="38"/>
        <v>-82.781828379136286</v>
      </c>
      <c r="D801" s="8">
        <f t="shared" si="39"/>
        <v>-117.41120726836735</v>
      </c>
      <c r="E801" s="8">
        <f t="shared" si="39"/>
        <v>-112.51976657751297</v>
      </c>
      <c r="F801" s="8">
        <f t="shared" si="39"/>
        <v>-180.2109647110907</v>
      </c>
      <c r="G801" s="8">
        <f t="shared" si="39"/>
        <v>-160.42192942218136</v>
      </c>
      <c r="H801" s="8">
        <f t="shared" si="39"/>
        <v>-120.84385884436273</v>
      </c>
    </row>
    <row r="802" spans="1:8" x14ac:dyDescent="0.2">
      <c r="A802" s="11"/>
      <c r="B802" s="11">
        <v>0.78400000000000003</v>
      </c>
      <c r="C802">
        <f t="shared" si="38"/>
        <v>-82.847533632286996</v>
      </c>
      <c r="D802" s="8">
        <f t="shared" si="39"/>
        <v>-117.53310645441745</v>
      </c>
      <c r="E802" s="8">
        <f t="shared" si="39"/>
        <v>-112.61823917420713</v>
      </c>
      <c r="F802" s="8">
        <f t="shared" si="39"/>
        <v>-180.25529745266681</v>
      </c>
      <c r="G802" s="8">
        <f t="shared" si="39"/>
        <v>-160.51059490533365</v>
      </c>
      <c r="H802" s="8">
        <f t="shared" si="39"/>
        <v>-121.02118981066728</v>
      </c>
    </row>
    <row r="803" spans="1:8" x14ac:dyDescent="0.2">
      <c r="A803" s="11"/>
      <c r="B803" s="11">
        <v>0.78500000000000003</v>
      </c>
      <c r="C803">
        <f t="shared" si="38"/>
        <v>-82.913165266106446</v>
      </c>
      <c r="D803" s="8">
        <f t="shared" si="39"/>
        <v>-117.65474289035313</v>
      </c>
      <c r="E803" s="8">
        <f t="shared" si="39"/>
        <v>-112.71651231169338</v>
      </c>
      <c r="F803" s="8">
        <f t="shared" si="39"/>
        <v>-180.29950611721887</v>
      </c>
      <c r="G803" s="8">
        <f t="shared" si="39"/>
        <v>-160.59901223443774</v>
      </c>
      <c r="H803" s="8">
        <f t="shared" si="39"/>
        <v>-121.19802446887545</v>
      </c>
    </row>
    <row r="804" spans="1:8" x14ac:dyDescent="0.2">
      <c r="A804" s="11"/>
      <c r="B804" s="11">
        <v>0.78600000000000003</v>
      </c>
      <c r="C804">
        <f t="shared" si="38"/>
        <v>-82.978723404255319</v>
      </c>
      <c r="D804" s="8">
        <f t="shared" si="39"/>
        <v>-117.77611731351254</v>
      </c>
      <c r="E804" s="8">
        <f t="shared" si="39"/>
        <v>-112.81458654582693</v>
      </c>
      <c r="F804" s="8">
        <f t="shared" si="39"/>
        <v>-180.34359112122888</v>
      </c>
      <c r="G804" s="8">
        <f t="shared" si="39"/>
        <v>-160.68718224245777</v>
      </c>
      <c r="H804" s="8">
        <f t="shared" si="39"/>
        <v>-121.37436448491553</v>
      </c>
    </row>
    <row r="805" spans="1:8" x14ac:dyDescent="0.2">
      <c r="A805" s="11"/>
      <c r="B805" s="11">
        <v>0.78700000000000003</v>
      </c>
      <c r="C805">
        <f t="shared" si="38"/>
        <v>-83.044208170117514</v>
      </c>
      <c r="D805" s="8">
        <f t="shared" si="39"/>
        <v>-117.89723045870056</v>
      </c>
      <c r="E805" s="8">
        <f t="shared" si="39"/>
        <v>-112.91246243053317</v>
      </c>
      <c r="F805" s="8">
        <f t="shared" si="39"/>
        <v>-180.38755287954891</v>
      </c>
      <c r="G805" s="8">
        <f t="shared" si="39"/>
        <v>-160.77510575909784</v>
      </c>
      <c r="H805" s="8">
        <f t="shared" si="39"/>
        <v>-121.55021151819567</v>
      </c>
    </row>
    <row r="806" spans="1:8" x14ac:dyDescent="0.2">
      <c r="A806" s="11"/>
      <c r="B806" s="11">
        <v>0.78800000000000003</v>
      </c>
      <c r="C806">
        <f t="shared" si="38"/>
        <v>-83.109619686800897</v>
      </c>
      <c r="D806" s="8">
        <f t="shared" si="39"/>
        <v>-118.01808305819895</v>
      </c>
      <c r="E806" s="8">
        <f t="shared" si="39"/>
        <v>-113.01014051781561</v>
      </c>
      <c r="F806" s="8">
        <f t="shared" si="39"/>
        <v>-180.43139180540823</v>
      </c>
      <c r="G806" s="8">
        <f t="shared" si="39"/>
        <v>-160.86278361081645</v>
      </c>
      <c r="H806" s="8">
        <f t="shared" si="39"/>
        <v>-121.72556722163289</v>
      </c>
    </row>
    <row r="807" spans="1:8" x14ac:dyDescent="0.2">
      <c r="A807" s="11"/>
      <c r="B807" s="11">
        <v>0.78900000000000003</v>
      </c>
      <c r="C807">
        <f t="shared" si="38"/>
        <v>-83.174958077138072</v>
      </c>
      <c r="D807" s="8">
        <f t="shared" si="39"/>
        <v>-118.13867584177666</v>
      </c>
      <c r="E807" s="8">
        <f t="shared" si="39"/>
        <v>-113.10762135776359</v>
      </c>
      <c r="F807" s="8">
        <f t="shared" si="39"/>
        <v>-180.4751083104205</v>
      </c>
      <c r="G807" s="8">
        <f t="shared" si="39"/>
        <v>-160.95021662084099</v>
      </c>
      <c r="H807" s="8">
        <f t="shared" si="39"/>
        <v>-121.90043324168199</v>
      </c>
    </row>
    <row r="808" spans="1:8" x14ac:dyDescent="0.2">
      <c r="A808" s="11"/>
      <c r="B808" s="11">
        <v>0.79</v>
      </c>
      <c r="C808">
        <f t="shared" si="38"/>
        <v>-83.240223463687158</v>
      </c>
      <c r="D808" s="8">
        <f t="shared" si="39"/>
        <v>-118.25900953669989</v>
      </c>
      <c r="E808" s="8">
        <f t="shared" si="39"/>
        <v>-113.20490549856018</v>
      </c>
      <c r="F808" s="8">
        <f t="shared" si="39"/>
        <v>-180.51870280459116</v>
      </c>
      <c r="G808" s="8">
        <f t="shared" si="39"/>
        <v>-161.03740560918231</v>
      </c>
      <c r="H808" s="8">
        <f t="shared" si="39"/>
        <v>-122.0748112183646</v>
      </c>
    </row>
    <row r="809" spans="1:8" x14ac:dyDescent="0.2">
      <c r="A809" s="11"/>
      <c r="B809" s="11">
        <v>0.79100000000000004</v>
      </c>
      <c r="C809">
        <f t="shared" si="38"/>
        <v>-83.305415968732547</v>
      </c>
      <c r="D809" s="8">
        <f t="shared" si="39"/>
        <v>-118.37908486774229</v>
      </c>
      <c r="E809" s="8">
        <f t="shared" si="39"/>
        <v>-113.30199348649033</v>
      </c>
      <c r="F809" s="8">
        <f t="shared" si="39"/>
        <v>-180.56217569632446</v>
      </c>
      <c r="G809" s="8">
        <f t="shared" si="39"/>
        <v>-161.12435139264889</v>
      </c>
      <c r="H809" s="8">
        <f t="shared" si="39"/>
        <v>-122.24870278529779</v>
      </c>
    </row>
    <row r="810" spans="1:8" x14ac:dyDescent="0.2">
      <c r="A810" s="11"/>
      <c r="B810" s="11">
        <v>0.79200000000000004</v>
      </c>
      <c r="C810">
        <f t="shared" si="38"/>
        <v>-83.370535714285722</v>
      </c>
      <c r="D810" s="8">
        <f t="shared" si="39"/>
        <v>-118.49890255719512</v>
      </c>
      <c r="E810" s="8">
        <f t="shared" si="39"/>
        <v>-113.39888586594829</v>
      </c>
      <c r="F810" s="8">
        <f t="shared" si="39"/>
        <v>-180.6055273924307</v>
      </c>
      <c r="G810" s="8">
        <f t="shared" si="39"/>
        <v>-161.21105478486137</v>
      </c>
      <c r="H810" s="8">
        <f t="shared" si="39"/>
        <v>-122.42210956972276</v>
      </c>
    </row>
    <row r="811" spans="1:8" x14ac:dyDescent="0.2">
      <c r="A811" s="11"/>
      <c r="B811" s="11">
        <v>0.79300000000000004</v>
      </c>
      <c r="C811">
        <f t="shared" si="38"/>
        <v>-83.435582822085905</v>
      </c>
      <c r="D811" s="8">
        <f t="shared" si="39"/>
        <v>-118.61846332487698</v>
      </c>
      <c r="E811" s="8">
        <f t="shared" si="39"/>
        <v>-113.49558317944546</v>
      </c>
      <c r="F811" s="8">
        <f t="shared" si="39"/>
        <v>-180.64875829813323</v>
      </c>
      <c r="G811" s="8">
        <f t="shared" si="39"/>
        <v>-161.29751659626646</v>
      </c>
      <c r="H811" s="8">
        <f t="shared" si="39"/>
        <v>-122.59503319253291</v>
      </c>
    </row>
    <row r="812" spans="1:8" x14ac:dyDescent="0.2">
      <c r="A812" s="11"/>
      <c r="B812" s="11">
        <v>0.79400000000000004</v>
      </c>
      <c r="C812">
        <f t="shared" si="38"/>
        <v>-83.500557413600887</v>
      </c>
      <c r="D812" s="8">
        <f t="shared" si="39"/>
        <v>-118.73776788814409</v>
      </c>
      <c r="E812" s="8">
        <f t="shared" si="39"/>
        <v>-113.59208596761822</v>
      </c>
      <c r="F812" s="8">
        <f t="shared" si="39"/>
        <v>-180.69186881707563</v>
      </c>
      <c r="G812" s="8">
        <f t="shared" si="39"/>
        <v>-161.38373763415129</v>
      </c>
      <c r="H812" s="8">
        <f t="shared" si="39"/>
        <v>-122.76747526830256</v>
      </c>
    </row>
    <row r="813" spans="1:8" x14ac:dyDescent="0.2">
      <c r="A813" s="11"/>
      <c r="B813" s="11">
        <v>0.79500000000000004</v>
      </c>
      <c r="C813">
        <f t="shared" si="38"/>
        <v>-83.565459610027844</v>
      </c>
      <c r="D813" s="8">
        <f t="shared" si="39"/>
        <v>-118.85681696190008</v>
      </c>
      <c r="E813" s="8">
        <f t="shared" si="39"/>
        <v>-113.68839476923543</v>
      </c>
      <c r="F813" s="8">
        <f t="shared" si="39"/>
        <v>-180.73485935132871</v>
      </c>
      <c r="G813" s="8">
        <f t="shared" si="39"/>
        <v>-161.46971870265745</v>
      </c>
      <c r="H813" s="8">
        <f t="shared" si="39"/>
        <v>-122.93943740531488</v>
      </c>
    </row>
    <row r="814" spans="1:8" x14ac:dyDescent="0.2">
      <c r="A814" s="11"/>
      <c r="B814" s="11">
        <v>0.79600000000000004</v>
      </c>
      <c r="C814">
        <f t="shared" si="38"/>
        <v>-83.630289532293986</v>
      </c>
      <c r="D814" s="8">
        <f t="shared" si="39"/>
        <v>-118.97561125860587</v>
      </c>
      <c r="E814" s="8">
        <f t="shared" si="39"/>
        <v>-113.78451012120631</v>
      </c>
      <c r="F814" s="8">
        <f t="shared" si="39"/>
        <v>-180.77773030139747</v>
      </c>
      <c r="G814" s="8">
        <f t="shared" si="39"/>
        <v>-161.55546060279494</v>
      </c>
      <c r="H814" s="8">
        <f t="shared" si="39"/>
        <v>-123.11092120558988</v>
      </c>
    </row>
    <row r="815" spans="1:8" x14ac:dyDescent="0.2">
      <c r="A815" s="11"/>
      <c r="B815" s="11">
        <v>0.79700000000000004</v>
      </c>
      <c r="C815">
        <f t="shared" si="38"/>
        <v>-83.695047301057329</v>
      </c>
      <c r="D815" s="8">
        <f t="shared" si="39"/>
        <v>-119.09415148828958</v>
      </c>
      <c r="E815" s="8">
        <f t="shared" si="39"/>
        <v>-113.88043255858784</v>
      </c>
      <c r="F815" s="8">
        <f t="shared" si="39"/>
        <v>-180.82048206622807</v>
      </c>
      <c r="G815" s="8">
        <f t="shared" si="39"/>
        <v>-161.64096413245616</v>
      </c>
      <c r="H815" s="8">
        <f t="shared" si="39"/>
        <v>-123.28192826491232</v>
      </c>
    </row>
    <row r="816" spans="1:8" x14ac:dyDescent="0.2">
      <c r="A816" s="11"/>
      <c r="B816" s="11">
        <v>0.79800000000000004</v>
      </c>
      <c r="C816">
        <f t="shared" si="38"/>
        <v>-83.759733036707459</v>
      </c>
      <c r="D816" s="8">
        <f t="shared" si="39"/>
        <v>-119.21243835855616</v>
      </c>
      <c r="E816" s="8">
        <f t="shared" si="39"/>
        <v>-113.97616261459238</v>
      </c>
      <c r="F816" s="8">
        <f t="shared" si="39"/>
        <v>-180.86311504321483</v>
      </c>
      <c r="G816" s="8">
        <f t="shared" si="39"/>
        <v>-161.72623008642967</v>
      </c>
      <c r="H816" s="8">
        <f t="shared" si="39"/>
        <v>-123.45246017285936</v>
      </c>
    </row>
    <row r="817" spans="1:8" x14ac:dyDescent="0.2">
      <c r="A817" s="11"/>
      <c r="B817" s="11">
        <v>0.79900000000000004</v>
      </c>
      <c r="C817">
        <f t="shared" si="38"/>
        <v>-83.824346859366315</v>
      </c>
      <c r="D817" s="8">
        <f t="shared" si="39"/>
        <v>-119.33047257459738</v>
      </c>
      <c r="E817" s="8">
        <f t="shared" si="39"/>
        <v>-114.0717008205953</v>
      </c>
      <c r="F817" s="8">
        <f t="shared" si="39"/>
        <v>-180.90562962820707</v>
      </c>
      <c r="G817" s="8">
        <f t="shared" si="39"/>
        <v>-161.81125925641413</v>
      </c>
      <c r="H817" s="8">
        <f t="shared" si="39"/>
        <v>-123.62251851282825</v>
      </c>
    </row>
    <row r="818" spans="1:8" x14ac:dyDescent="0.2">
      <c r="A818" s="11"/>
      <c r="B818" s="11">
        <v>0.8</v>
      </c>
      <c r="C818">
        <f t="shared" si="38"/>
        <v>-83.888888888888886</v>
      </c>
      <c r="D818" s="8">
        <f t="shared" si="39"/>
        <v>-119.44825483920135</v>
      </c>
      <c r="E818" s="8">
        <f t="shared" si="39"/>
        <v>-114.16704770614237</v>
      </c>
      <c r="F818" s="8">
        <f t="shared" si="39"/>
        <v>-180.94802621551594</v>
      </c>
      <c r="G818" s="8">
        <f t="shared" si="39"/>
        <v>-161.89605243103188</v>
      </c>
      <c r="H818" s="8">
        <f t="shared" si="39"/>
        <v>-123.79210486206372</v>
      </c>
    </row>
    <row r="819" spans="1:8" x14ac:dyDescent="0.2">
      <c r="A819" s="11"/>
      <c r="B819" s="11">
        <v>0.80100000000000005</v>
      </c>
      <c r="C819">
        <f t="shared" si="38"/>
        <v>-83.953359244863975</v>
      </c>
      <c r="D819" s="8">
        <f t="shared" si="39"/>
        <v>-119.56578585276223</v>
      </c>
      <c r="E819" s="8">
        <f t="shared" si="39"/>
        <v>-114.26220379895727</v>
      </c>
      <c r="F819" s="8">
        <f t="shared" si="39"/>
        <v>-180.99030519792132</v>
      </c>
      <c r="G819" s="8">
        <f t="shared" si="39"/>
        <v>-161.9806103958426</v>
      </c>
      <c r="H819" s="8">
        <f t="shared" si="39"/>
        <v>-123.96122079168522</v>
      </c>
    </row>
    <row r="820" spans="1:8" x14ac:dyDescent="0.2">
      <c r="A820" s="11"/>
      <c r="B820" s="11">
        <v>0.80200000000000005</v>
      </c>
      <c r="C820">
        <f t="shared" si="38"/>
        <v>-84.017758046614873</v>
      </c>
      <c r="D820" s="8">
        <f t="shared" si="39"/>
        <v>-119.6830663132898</v>
      </c>
      <c r="E820" s="8">
        <f t="shared" si="39"/>
        <v>-114.35716962494909</v>
      </c>
      <c r="F820" s="8">
        <f t="shared" si="39"/>
        <v>-181.03246696667856</v>
      </c>
      <c r="G820" s="8">
        <f t="shared" si="39"/>
        <v>-162.06493393335708</v>
      </c>
      <c r="H820" s="8">
        <f t="shared" si="39"/>
        <v>-124.12986786671418</v>
      </c>
    </row>
    <row r="821" spans="1:8" x14ac:dyDescent="0.2">
      <c r="A821" s="11"/>
      <c r="B821" s="11">
        <v>0.80300000000000005</v>
      </c>
      <c r="C821">
        <f t="shared" si="38"/>
        <v>-84.082085413200218</v>
      </c>
      <c r="D821" s="8">
        <f t="shared" si="39"/>
        <v>-119.80009691641919</v>
      </c>
      <c r="E821" s="8">
        <f t="shared" si="39"/>
        <v>-114.45194570821958</v>
      </c>
      <c r="F821" s="8">
        <f t="shared" si="39"/>
        <v>-181.07451191152526</v>
      </c>
      <c r="G821" s="8">
        <f t="shared" si="39"/>
        <v>-162.14902382305053</v>
      </c>
      <c r="H821" s="8">
        <f t="shared" si="39"/>
        <v>-124.29804764610105</v>
      </c>
    </row>
    <row r="822" spans="1:8" x14ac:dyDescent="0.2">
      <c r="A822" s="11"/>
      <c r="B822" s="11">
        <v>0.80400000000000005</v>
      </c>
      <c r="C822">
        <f t="shared" si="38"/>
        <v>-84.146341463414643</v>
      </c>
      <c r="D822" s="8">
        <f t="shared" si="39"/>
        <v>-119.91687835542018</v>
      </c>
      <c r="E822" s="8">
        <f t="shared" si="39"/>
        <v>-114.54653257107064</v>
      </c>
      <c r="F822" s="8">
        <f t="shared" si="39"/>
        <v>-181.11644042068804</v>
      </c>
      <c r="G822" s="8">
        <f t="shared" si="39"/>
        <v>-162.23288084137607</v>
      </c>
      <c r="H822" s="8">
        <f t="shared" si="39"/>
        <v>-124.46576168275215</v>
      </c>
    </row>
    <row r="823" spans="1:8" x14ac:dyDescent="0.2">
      <c r="A823" s="11"/>
      <c r="B823" s="11">
        <v>0.80500000000000005</v>
      </c>
      <c r="C823">
        <f t="shared" si="38"/>
        <v>-84.21052631578948</v>
      </c>
      <c r="D823" s="8">
        <f t="shared" si="39"/>
        <v>-120.0334113212069</v>
      </c>
      <c r="E823" s="8">
        <f t="shared" si="39"/>
        <v>-114.64093073401159</v>
      </c>
      <c r="F823" s="8">
        <f t="shared" si="39"/>
        <v>-181.15825288088911</v>
      </c>
      <c r="G823" s="8">
        <f t="shared" si="39"/>
        <v>-162.31650576177822</v>
      </c>
      <c r="H823" s="8">
        <f t="shared" si="39"/>
        <v>-124.63301152355645</v>
      </c>
    </row>
    <row r="824" spans="1:8" x14ac:dyDescent="0.2">
      <c r="A824" s="11"/>
      <c r="B824" s="11">
        <v>0.80600000000000005</v>
      </c>
      <c r="C824">
        <f t="shared" si="38"/>
        <v>-84.274640088593586</v>
      </c>
      <c r="D824" s="8">
        <f t="shared" si="39"/>
        <v>-120.14969650234696</v>
      </c>
      <c r="E824" s="8">
        <f t="shared" si="39"/>
        <v>-114.73514071576642</v>
      </c>
      <c r="F824" s="8">
        <f t="shared" si="39"/>
        <v>-181.19994967735303</v>
      </c>
      <c r="G824" s="8">
        <f t="shared" si="39"/>
        <v>-162.39989935470606</v>
      </c>
      <c r="H824" s="8">
        <f t="shared" si="39"/>
        <v>-124.79979870941213</v>
      </c>
    </row>
    <row r="825" spans="1:8" x14ac:dyDescent="0.2">
      <c r="A825" s="11"/>
      <c r="B825" s="11">
        <v>0.80700000000000005</v>
      </c>
      <c r="C825">
        <f t="shared" si="38"/>
        <v>-84.338682899833969</v>
      </c>
      <c r="D825" s="8">
        <f t="shared" si="39"/>
        <v>-120.26573458507124</v>
      </c>
      <c r="E825" s="8">
        <f t="shared" si="39"/>
        <v>-114.82916303328119</v>
      </c>
      <c r="F825" s="8">
        <f t="shared" si="39"/>
        <v>-181.24153119381333</v>
      </c>
      <c r="G825" s="8">
        <f t="shared" si="39"/>
        <v>-162.48306238762666</v>
      </c>
      <c r="H825" s="8">
        <f t="shared" si="39"/>
        <v>-124.96612477525329</v>
      </c>
    </row>
    <row r="826" spans="1:8" x14ac:dyDescent="0.2">
      <c r="A826" s="11"/>
      <c r="B826" s="11">
        <v>0.80800000000000005</v>
      </c>
      <c r="C826">
        <f t="shared" si="38"/>
        <v>-84.402654867256643</v>
      </c>
      <c r="D826" s="8">
        <f t="shared" si="39"/>
        <v>-120.38152625328291</v>
      </c>
      <c r="E826" s="8">
        <f t="shared" si="39"/>
        <v>-114.9229982017311</v>
      </c>
      <c r="F826" s="8">
        <f t="shared" si="39"/>
        <v>-181.28299781251903</v>
      </c>
      <c r="G826" s="8">
        <f t="shared" si="39"/>
        <v>-162.56599562503806</v>
      </c>
      <c r="H826" s="8">
        <f t="shared" si="39"/>
        <v>-125.13199125007613</v>
      </c>
    </row>
    <row r="827" spans="1:8" x14ac:dyDescent="0.2">
      <c r="A827" s="11"/>
      <c r="B827" s="11">
        <v>0.80900000000000005</v>
      </c>
      <c r="C827">
        <f t="shared" si="38"/>
        <v>-84.466556108347163</v>
      </c>
      <c r="D827" s="8">
        <f t="shared" si="39"/>
        <v>-120.49707218856705</v>
      </c>
      <c r="E827" s="8">
        <f t="shared" si="39"/>
        <v>-115.0166467345278</v>
      </c>
      <c r="F827" s="8">
        <f t="shared" si="39"/>
        <v>-181.32434991424128</v>
      </c>
      <c r="G827" s="8">
        <f t="shared" si="39"/>
        <v>-162.64869982848259</v>
      </c>
      <c r="H827" s="8">
        <f t="shared" si="39"/>
        <v>-125.29739965696517</v>
      </c>
    </row>
    <row r="828" spans="1:8" x14ac:dyDescent="0.2">
      <c r="A828" s="11"/>
      <c r="B828" s="11">
        <v>0.81</v>
      </c>
      <c r="C828">
        <f t="shared" si="38"/>
        <v>-84.530386740331494</v>
      </c>
      <c r="D828" s="8">
        <f t="shared" si="39"/>
        <v>-120.61237307019941</v>
      </c>
      <c r="E828" s="8">
        <f t="shared" si="39"/>
        <v>-115.1101091433264</v>
      </c>
      <c r="F828" s="8">
        <f t="shared" si="39"/>
        <v>-181.36558787827988</v>
      </c>
      <c r="G828" s="8">
        <f t="shared" si="39"/>
        <v>-162.73117575655976</v>
      </c>
      <c r="H828" s="8">
        <f t="shared" si="39"/>
        <v>-125.46235151311953</v>
      </c>
    </row>
    <row r="829" spans="1:8" x14ac:dyDescent="0.2">
      <c r="A829" s="11"/>
      <c r="B829" s="11">
        <v>0.81100000000000005</v>
      </c>
      <c r="C829">
        <f t="shared" si="38"/>
        <v>-84.594146880176694</v>
      </c>
      <c r="D829" s="8">
        <f t="shared" si="39"/>
        <v>-120.72742957515631</v>
      </c>
      <c r="E829" s="8">
        <f t="shared" si="39"/>
        <v>-115.20338593803284</v>
      </c>
      <c r="F829" s="8">
        <f t="shared" si="39"/>
        <v>-181.40671208246968</v>
      </c>
      <c r="G829" s="8">
        <f t="shared" si="39"/>
        <v>-162.81342416493939</v>
      </c>
      <c r="H829" s="8">
        <f t="shared" si="39"/>
        <v>-125.62684832987877</v>
      </c>
    </row>
    <row r="830" spans="1:8" x14ac:dyDescent="0.2">
      <c r="A830" s="11"/>
      <c r="B830" s="11">
        <v>0.81200000000000006</v>
      </c>
      <c r="C830">
        <f t="shared" si="38"/>
        <v>-84.657836644591612</v>
      </c>
      <c r="D830" s="8">
        <f t="shared" si="39"/>
        <v>-120.84224237812323</v>
      </c>
      <c r="E830" s="8">
        <f t="shared" si="39"/>
        <v>-115.2964776268107</v>
      </c>
      <c r="F830" s="8">
        <f t="shared" si="39"/>
        <v>-181.44772290318718</v>
      </c>
      <c r="G830" s="8">
        <f t="shared" si="39"/>
        <v>-162.8954458063744</v>
      </c>
      <c r="H830" s="8">
        <f t="shared" si="39"/>
        <v>-125.79089161274878</v>
      </c>
    </row>
    <row r="831" spans="1:8" x14ac:dyDescent="0.2">
      <c r="A831" s="11"/>
      <c r="B831" s="11">
        <v>0.81299999999999994</v>
      </c>
      <c r="C831">
        <f t="shared" si="38"/>
        <v>-84.721456150027578</v>
      </c>
      <c r="D831" s="8">
        <f t="shared" si="39"/>
        <v>-120.95681215150427</v>
      </c>
      <c r="E831" s="8">
        <f t="shared" si="39"/>
        <v>-115.38938471608844</v>
      </c>
      <c r="F831" s="8">
        <f t="shared" si="39"/>
        <v>-181.48862071535686</v>
      </c>
      <c r="G831" s="8">
        <f t="shared" si="39"/>
        <v>-162.97724143071372</v>
      </c>
      <c r="H831" s="8">
        <f t="shared" si="39"/>
        <v>-125.95448286142742</v>
      </c>
    </row>
    <row r="832" spans="1:8" x14ac:dyDescent="0.2">
      <c r="A832" s="11"/>
      <c r="B832" s="11">
        <v>0.81399999999999995</v>
      </c>
      <c r="C832">
        <f t="shared" si="38"/>
        <v>-84.785005512679163</v>
      </c>
      <c r="D832" s="8">
        <f t="shared" si="39"/>
        <v>-121.07113956543114</v>
      </c>
      <c r="E832" s="8">
        <f t="shared" si="39"/>
        <v>-115.48210771056637</v>
      </c>
      <c r="F832" s="8">
        <f t="shared" si="39"/>
        <v>-181.52940589245759</v>
      </c>
      <c r="G832" s="8">
        <f t="shared" si="39"/>
        <v>-163.05881178491518</v>
      </c>
      <c r="H832" s="8">
        <f t="shared" si="39"/>
        <v>-126.11762356983039</v>
      </c>
    </row>
    <row r="833" spans="1:8" x14ac:dyDescent="0.2">
      <c r="A833" s="11"/>
      <c r="B833" s="11">
        <v>0.81499999999999995</v>
      </c>
      <c r="C833">
        <f t="shared" si="38"/>
        <v>-84.848484848484844</v>
      </c>
      <c r="D833" s="8">
        <f t="shared" si="39"/>
        <v>-121.1852252877722</v>
      </c>
      <c r="E833" s="8">
        <f t="shared" si="39"/>
        <v>-115.57464711322362</v>
      </c>
      <c r="F833" s="8">
        <f t="shared" si="39"/>
        <v>-181.57007880652904</v>
      </c>
      <c r="G833" s="8">
        <f t="shared" si="39"/>
        <v>-163.14015761305811</v>
      </c>
      <c r="H833" s="8">
        <f t="shared" si="39"/>
        <v>-126.2803152261162</v>
      </c>
    </row>
    <row r="834" spans="1:8" x14ac:dyDescent="0.2">
      <c r="A834" s="11"/>
      <c r="B834" s="11">
        <v>0.81599999999999995</v>
      </c>
      <c r="C834">
        <f t="shared" si="38"/>
        <v>-84.911894273127743</v>
      </c>
      <c r="D834" s="8">
        <f t="shared" si="39"/>
        <v>-121.29906998414157</v>
      </c>
      <c r="E834" s="8">
        <f t="shared" si="39"/>
        <v>-115.66700342532513</v>
      </c>
      <c r="F834" s="8">
        <f t="shared" si="39"/>
        <v>-181.61063982817802</v>
      </c>
      <c r="G834" s="8">
        <f t="shared" si="39"/>
        <v>-163.22127965635602</v>
      </c>
      <c r="H834" s="8">
        <f t="shared" si="39"/>
        <v>-126.44255931271204</v>
      </c>
    </row>
    <row r="835" spans="1:8" x14ac:dyDescent="0.2">
      <c r="A835" s="11"/>
      <c r="B835" s="11">
        <v>0.81699999999999995</v>
      </c>
      <c r="C835">
        <f t="shared" si="38"/>
        <v>-84.975233902036322</v>
      </c>
      <c r="D835" s="8">
        <f t="shared" si="39"/>
        <v>-121.412674317908</v>
      </c>
      <c r="E835" s="8">
        <f t="shared" si="39"/>
        <v>-115.75917714642873</v>
      </c>
      <c r="F835" s="8">
        <f t="shared" si="39"/>
        <v>-181.65108932658467</v>
      </c>
      <c r="G835" s="8">
        <f t="shared" si="39"/>
        <v>-163.30217865316934</v>
      </c>
      <c r="H835" s="8">
        <f t="shared" si="39"/>
        <v>-126.60435730633868</v>
      </c>
    </row>
    <row r="836" spans="1:8" x14ac:dyDescent="0.2">
      <c r="A836" s="11"/>
      <c r="B836" s="11">
        <v>0.81799999999999995</v>
      </c>
      <c r="C836">
        <f t="shared" si="38"/>
        <v>-85.038503850385041</v>
      </c>
      <c r="D836" s="8">
        <f t="shared" si="39"/>
        <v>-121.52603895020387</v>
      </c>
      <c r="E836" s="8">
        <f t="shared" si="39"/>
        <v>-115.85116877439155</v>
      </c>
      <c r="F836" s="8">
        <f t="shared" si="39"/>
        <v>-181.69142766950893</v>
      </c>
      <c r="G836" s="8">
        <f t="shared" si="39"/>
        <v>-163.38285533901782</v>
      </c>
      <c r="H836" s="8">
        <f t="shared" si="39"/>
        <v>-126.76571067803565</v>
      </c>
    </row>
    <row r="837" spans="1:8" x14ac:dyDescent="0.2">
      <c r="A837" s="11"/>
      <c r="B837" s="11">
        <v>0.81899999999999995</v>
      </c>
      <c r="C837">
        <f t="shared" si="38"/>
        <v>-85.101704233095106</v>
      </c>
      <c r="D837" s="8">
        <f t="shared" si="39"/>
        <v>-121.63916453993392</v>
      </c>
      <c r="E837" s="8">
        <f t="shared" si="39"/>
        <v>-115.94297880537746</v>
      </c>
      <c r="F837" s="8">
        <f t="shared" si="39"/>
        <v>-181.73165522329651</v>
      </c>
      <c r="G837" s="8">
        <f t="shared" si="39"/>
        <v>-163.46331044659306</v>
      </c>
      <c r="H837" s="8">
        <f t="shared" si="39"/>
        <v>-126.9266208931861</v>
      </c>
    </row>
    <row r="838" spans="1:8" x14ac:dyDescent="0.2">
      <c r="A838" s="11"/>
      <c r="B838" s="11">
        <v>0.82</v>
      </c>
      <c r="C838">
        <f t="shared" si="38"/>
        <v>-85.164835164835154</v>
      </c>
      <c r="D838" s="8">
        <f t="shared" si="39"/>
        <v>-121.75205174378441</v>
      </c>
      <c r="E838" s="8">
        <f t="shared" si="39"/>
        <v>-116.03460773386367</v>
      </c>
      <c r="F838" s="8">
        <f t="shared" si="39"/>
        <v>-181.77177235288548</v>
      </c>
      <c r="G838" s="8">
        <f t="shared" si="39"/>
        <v>-163.54354470577096</v>
      </c>
      <c r="H838" s="8">
        <f t="shared" si="39"/>
        <v>-127.08708941154188</v>
      </c>
    </row>
    <row r="839" spans="1:8" x14ac:dyDescent="0.2">
      <c r="A839" s="11"/>
      <c r="B839" s="11">
        <v>0.82099999999999995</v>
      </c>
      <c r="C839">
        <f t="shared" si="38"/>
        <v>-85.227896760021963</v>
      </c>
      <c r="D839" s="8">
        <f t="shared" si="39"/>
        <v>-121.86470121623168</v>
      </c>
      <c r="E839" s="8">
        <f t="shared" si="39"/>
        <v>-116.12605605264733</v>
      </c>
      <c r="F839" s="8">
        <f t="shared" si="39"/>
        <v>-181.81177942181202</v>
      </c>
      <c r="G839" s="8">
        <f t="shared" si="39"/>
        <v>-163.62355884362404</v>
      </c>
      <c r="H839" s="8">
        <f t="shared" si="39"/>
        <v>-127.24711768724808</v>
      </c>
    </row>
    <row r="840" spans="1:8" x14ac:dyDescent="0.2">
      <c r="A840" s="11"/>
      <c r="B840" s="11">
        <v>0.82199999999999995</v>
      </c>
      <c r="C840">
        <f t="shared" si="38"/>
        <v>-85.290889132821079</v>
      </c>
      <c r="D840" s="8">
        <f t="shared" si="39"/>
        <v>-121.97711360955086</v>
      </c>
      <c r="E840" s="8">
        <f t="shared" si="39"/>
        <v>-116.21732425285268</v>
      </c>
      <c r="F840" s="8">
        <f t="shared" si="39"/>
        <v>-181.85167679221689</v>
      </c>
      <c r="G840" s="8">
        <f t="shared" si="39"/>
        <v>-163.70335358443378</v>
      </c>
      <c r="H840" s="8">
        <f t="shared" si="39"/>
        <v>-127.40670716886757</v>
      </c>
    </row>
    <row r="841" spans="1:8" x14ac:dyDescent="0.2">
      <c r="A841" s="11"/>
      <c r="B841" s="11">
        <v>0.82299999999999995</v>
      </c>
      <c r="C841">
        <f t="shared" si="38"/>
        <v>-85.35381239714755</v>
      </c>
      <c r="D841" s="8">
        <f t="shared" si="39"/>
        <v>-122.0892895738249</v>
      </c>
      <c r="E841" s="8">
        <f t="shared" si="39"/>
        <v>-116.30841282393736</v>
      </c>
      <c r="F841" s="8">
        <f t="shared" si="39"/>
        <v>-181.8914648248514</v>
      </c>
      <c r="G841" s="8">
        <f t="shared" si="39"/>
        <v>-163.78292964970279</v>
      </c>
      <c r="H841" s="8">
        <f t="shared" si="39"/>
        <v>-127.56585929940562</v>
      </c>
    </row>
    <row r="842" spans="1:8" x14ac:dyDescent="0.2">
      <c r="A842" s="11"/>
      <c r="B842" s="11">
        <v>0.82399999999999995</v>
      </c>
      <c r="C842">
        <f t="shared" si="38"/>
        <v>-85.416666666666657</v>
      </c>
      <c r="D842" s="8">
        <f t="shared" si="39"/>
        <v>-122.20122975695291</v>
      </c>
      <c r="E842" s="8">
        <f t="shared" si="39"/>
        <v>-116.39932225369959</v>
      </c>
      <c r="F842" s="8">
        <f t="shared" si="39"/>
        <v>-181.93114387908355</v>
      </c>
      <c r="G842" s="8">
        <f t="shared" si="39"/>
        <v>-163.8622877581671</v>
      </c>
      <c r="H842" s="8">
        <f t="shared" si="39"/>
        <v>-127.72457551633423</v>
      </c>
    </row>
    <row r="843" spans="1:8" x14ac:dyDescent="0.2">
      <c r="A843" s="11"/>
      <c r="B843" s="11">
        <v>0.82499999999999996</v>
      </c>
      <c r="C843">
        <f t="shared" si="38"/>
        <v>-85.479452054794521</v>
      </c>
      <c r="D843" s="8">
        <f t="shared" si="39"/>
        <v>-122.31293480465919</v>
      </c>
      <c r="E843" s="8">
        <f t="shared" si="39"/>
        <v>-116.49005302828439</v>
      </c>
      <c r="F843" s="8">
        <f t="shared" si="39"/>
        <v>-181.97071431290411</v>
      </c>
      <c r="G843" s="8">
        <f t="shared" si="39"/>
        <v>-163.94142862580819</v>
      </c>
      <c r="H843" s="8">
        <f t="shared" si="39"/>
        <v>-127.88285725161639</v>
      </c>
    </row>
    <row r="844" spans="1:8" x14ac:dyDescent="0.2">
      <c r="A844" s="11"/>
      <c r="B844" s="11">
        <v>0.82599999999999996</v>
      </c>
      <c r="C844">
        <f t="shared" si="38"/>
        <v>-85.5421686746988</v>
      </c>
      <c r="D844" s="8">
        <f t="shared" si="39"/>
        <v>-122.42440536050148</v>
      </c>
      <c r="E844" s="8">
        <f t="shared" si="39"/>
        <v>-116.58060563219058</v>
      </c>
      <c r="F844" s="8">
        <f t="shared" si="39"/>
        <v>-182.01017648293251</v>
      </c>
      <c r="G844" s="8">
        <f t="shared" si="39"/>
        <v>-164.02035296586502</v>
      </c>
      <c r="H844" s="8">
        <f t="shared" si="39"/>
        <v>-128.04070593173003</v>
      </c>
    </row>
    <row r="845" spans="1:8" x14ac:dyDescent="0.2">
      <c r="A845" s="11"/>
      <c r="B845" s="11">
        <v>0.82699999999999996</v>
      </c>
      <c r="C845">
        <f t="shared" si="38"/>
        <v>-85.604816639299401</v>
      </c>
      <c r="D845" s="8">
        <f t="shared" si="39"/>
        <v>-122.53564206587957</v>
      </c>
      <c r="E845" s="8">
        <f t="shared" si="39"/>
        <v>-116.67098054827714</v>
      </c>
      <c r="F845" s="8">
        <f t="shared" si="39"/>
        <v>-182.04953074442304</v>
      </c>
      <c r="G845" s="8">
        <f t="shared" si="39"/>
        <v>-164.09906148884608</v>
      </c>
      <c r="H845" s="8">
        <f t="shared" si="39"/>
        <v>-128.19812297769212</v>
      </c>
    </row>
    <row r="846" spans="1:8" x14ac:dyDescent="0.2">
      <c r="A846" s="11"/>
      <c r="B846" s="11">
        <v>0.82799999999999996</v>
      </c>
      <c r="C846">
        <f t="shared" si="38"/>
        <v>-85.66739606126913</v>
      </c>
      <c r="D846" s="8">
        <f t="shared" si="39"/>
        <v>-122.64664556004423</v>
      </c>
      <c r="E846" s="8">
        <f t="shared" si="39"/>
        <v>-116.76117825776991</v>
      </c>
      <c r="F846" s="8">
        <f t="shared" si="39"/>
        <v>-182.08877745127069</v>
      </c>
      <c r="G846" s="8">
        <f t="shared" si="39"/>
        <v>-164.17755490254135</v>
      </c>
      <c r="H846" s="8">
        <f t="shared" si="39"/>
        <v>-128.35510980508269</v>
      </c>
    </row>
    <row r="847" spans="1:8" x14ac:dyDescent="0.2">
      <c r="A847" s="11"/>
      <c r="B847" s="11">
        <v>0.82899999999999996</v>
      </c>
      <c r="C847">
        <f t="shared" si="38"/>
        <v>-85.729907053034438</v>
      </c>
      <c r="D847" s="8">
        <f t="shared" si="39"/>
        <v>-122.75741648010525</v>
      </c>
      <c r="E847" s="8">
        <f t="shared" si="39"/>
        <v>-116.85119924026823</v>
      </c>
      <c r="F847" s="8">
        <f t="shared" si="39"/>
        <v>-182.12791695601712</v>
      </c>
      <c r="G847" s="8">
        <f t="shared" si="39"/>
        <v>-164.25583391203423</v>
      </c>
      <c r="H847" s="8">
        <f t="shared" si="39"/>
        <v>-128.51166782406847</v>
      </c>
    </row>
    <row r="848" spans="1:8" x14ac:dyDescent="0.2">
      <c r="A848" s="11"/>
      <c r="B848" s="11">
        <v>0.83</v>
      </c>
      <c r="C848">
        <f t="shared" si="38"/>
        <v>-85.792349726775967</v>
      </c>
      <c r="D848" s="8">
        <f t="shared" ref="D848:H879" si="40">$D$5+(D$6/(1+$B848))+(D$7/(1+$B848)^2)+(D$8/(1+$B848)^3)+(D$9/(1+$B848)^4)</f>
        <v>-122.86795546104004</v>
      </c>
      <c r="E848" s="8">
        <f t="shared" si="40"/>
        <v>-116.94104397375126</v>
      </c>
      <c r="F848" s="8">
        <f t="shared" si="40"/>
        <v>-182.1669496098566</v>
      </c>
      <c r="G848" s="8">
        <f t="shared" si="40"/>
        <v>-164.3338992197132</v>
      </c>
      <c r="H848" s="8">
        <f t="shared" si="40"/>
        <v>-128.66779843942641</v>
      </c>
    </row>
    <row r="849" spans="1:8" x14ac:dyDescent="0.2">
      <c r="A849" s="11"/>
      <c r="B849" s="11">
        <v>0.83099999999999996</v>
      </c>
      <c r="C849">
        <f t="shared" si="38"/>
        <v>-85.854724194429267</v>
      </c>
      <c r="D849" s="8">
        <f t="shared" si="40"/>
        <v>-122.97826313570204</v>
      </c>
      <c r="E849" s="8">
        <f t="shared" si="40"/>
        <v>-117.0307129345845</v>
      </c>
      <c r="F849" s="8">
        <f t="shared" si="40"/>
        <v>-182.20587576264182</v>
      </c>
      <c r="G849" s="8">
        <f t="shared" si="40"/>
        <v>-164.41175152528365</v>
      </c>
      <c r="H849" s="8">
        <f t="shared" si="40"/>
        <v>-128.8235030505673</v>
      </c>
    </row>
    <row r="850" spans="1:8" x14ac:dyDescent="0.2">
      <c r="A850" s="11"/>
      <c r="B850" s="11">
        <v>0.83199999999999996</v>
      </c>
      <c r="C850">
        <f t="shared" si="38"/>
        <v>-85.917030567685586</v>
      </c>
      <c r="D850" s="8">
        <f t="shared" si="40"/>
        <v>-123.08834013482929</v>
      </c>
      <c r="E850" s="8">
        <f t="shared" si="40"/>
        <v>-117.12020659752652</v>
      </c>
      <c r="F850" s="8">
        <f t="shared" si="40"/>
        <v>-182.24469576288985</v>
      </c>
      <c r="G850" s="8">
        <f t="shared" si="40"/>
        <v>-164.48939152577969</v>
      </c>
      <c r="H850" s="8">
        <f t="shared" si="40"/>
        <v>-128.97878305155939</v>
      </c>
    </row>
    <row r="851" spans="1:8" x14ac:dyDescent="0.2">
      <c r="A851" s="11"/>
      <c r="B851" s="11">
        <v>0.83299999999999996</v>
      </c>
      <c r="C851">
        <f t="shared" si="38"/>
        <v>-85.97926895799236</v>
      </c>
      <c r="D851" s="8">
        <f t="shared" si="40"/>
        <v>-123.19818708705243</v>
      </c>
      <c r="E851" s="8">
        <f t="shared" si="40"/>
        <v>-117.20952543573505</v>
      </c>
      <c r="F851" s="8">
        <f t="shared" si="40"/>
        <v>-182.28340995778785</v>
      </c>
      <c r="G851" s="8">
        <f t="shared" si="40"/>
        <v>-164.56681991557571</v>
      </c>
      <c r="H851" s="8">
        <f t="shared" si="40"/>
        <v>-129.13363983115144</v>
      </c>
    </row>
    <row r="852" spans="1:8" x14ac:dyDescent="0.2">
      <c r="A852" s="11"/>
      <c r="B852" s="11">
        <v>0.83399999999999996</v>
      </c>
      <c r="C852">
        <f t="shared" ref="C852:C915" si="41">$C$5+$C$6/(1+$B852)</f>
        <v>-86.04143947655399</v>
      </c>
      <c r="D852" s="8">
        <f t="shared" si="40"/>
        <v>-123.30780461890323</v>
      </c>
      <c r="E852" s="8">
        <f t="shared" si="40"/>
        <v>-117.29866992077358</v>
      </c>
      <c r="F852" s="8">
        <f t="shared" si="40"/>
        <v>-182.32201869319897</v>
      </c>
      <c r="G852" s="8">
        <f t="shared" si="40"/>
        <v>-164.64403738639797</v>
      </c>
      <c r="H852" s="8">
        <f t="shared" si="40"/>
        <v>-129.28807477279594</v>
      </c>
    </row>
    <row r="853" spans="1:8" x14ac:dyDescent="0.2">
      <c r="A853" s="11"/>
      <c r="B853" s="11">
        <v>0.83499999999999996</v>
      </c>
      <c r="C853">
        <f t="shared" si="41"/>
        <v>-86.103542234332423</v>
      </c>
      <c r="D853" s="8">
        <f t="shared" si="40"/>
        <v>-123.41719335482281</v>
      </c>
      <c r="E853" s="8">
        <f t="shared" si="40"/>
        <v>-117.38764052261757</v>
      </c>
      <c r="F853" s="8">
        <f t="shared" si="40"/>
        <v>-182.36052231366804</v>
      </c>
      <c r="G853" s="8">
        <f t="shared" si="40"/>
        <v>-164.72104462733608</v>
      </c>
      <c r="H853" s="8">
        <f t="shared" si="40"/>
        <v>-129.44208925467214</v>
      </c>
    </row>
    <row r="854" spans="1:8" x14ac:dyDescent="0.2">
      <c r="A854" s="11"/>
      <c r="B854" s="11">
        <v>0.83599999999999997</v>
      </c>
      <c r="C854">
        <f t="shared" si="41"/>
        <v>-86.165577342047925</v>
      </c>
      <c r="D854" s="8">
        <f t="shared" si="40"/>
        <v>-123.52635391716989</v>
      </c>
      <c r="E854" s="8">
        <f t="shared" si="40"/>
        <v>-117.47643770966108</v>
      </c>
      <c r="F854" s="8">
        <f t="shared" si="40"/>
        <v>-182.39892116242731</v>
      </c>
      <c r="G854" s="8">
        <f t="shared" si="40"/>
        <v>-164.79784232485466</v>
      </c>
      <c r="H854" s="8">
        <f t="shared" si="40"/>
        <v>-129.59568464970931</v>
      </c>
    </row>
    <row r="855" spans="1:8" x14ac:dyDescent="0.2">
      <c r="A855" s="11"/>
      <c r="B855" s="11">
        <v>0.83699999999999997</v>
      </c>
      <c r="C855">
        <f t="shared" si="41"/>
        <v>-86.227544910179645</v>
      </c>
      <c r="D855" s="8">
        <f t="shared" si="40"/>
        <v>-123.63528692622884</v>
      </c>
      <c r="E855" s="8">
        <f t="shared" si="40"/>
        <v>-117.56506194872284</v>
      </c>
      <c r="F855" s="8">
        <f t="shared" si="40"/>
        <v>-182.43721558140231</v>
      </c>
      <c r="G855" s="8">
        <f t="shared" si="40"/>
        <v>-164.8744311628046</v>
      </c>
      <c r="H855" s="8">
        <f t="shared" si="40"/>
        <v>-129.7488623256092</v>
      </c>
    </row>
    <row r="856" spans="1:8" x14ac:dyDescent="0.2">
      <c r="A856" s="11"/>
      <c r="B856" s="11">
        <v>0.83799999999999997</v>
      </c>
      <c r="C856">
        <f t="shared" si="41"/>
        <v>-86.289445048966272</v>
      </c>
      <c r="D856" s="8">
        <f t="shared" si="40"/>
        <v>-123.74399300021807</v>
      </c>
      <c r="E856" s="8">
        <f t="shared" si="40"/>
        <v>-117.65351370505252</v>
      </c>
      <c r="F856" s="8">
        <f t="shared" si="40"/>
        <v>-182.47540591121725</v>
      </c>
      <c r="G856" s="8">
        <f t="shared" si="40"/>
        <v>-164.95081182243447</v>
      </c>
      <c r="H856" s="8">
        <f t="shared" si="40"/>
        <v>-129.90162364486895</v>
      </c>
    </row>
    <row r="857" spans="1:8" x14ac:dyDescent="0.2">
      <c r="A857" s="11"/>
      <c r="B857" s="11">
        <v>0.83899999999999997</v>
      </c>
      <c r="C857">
        <f t="shared" si="41"/>
        <v>-86.35127786840674</v>
      </c>
      <c r="D857" s="8">
        <f t="shared" si="40"/>
        <v>-123.85247275529792</v>
      </c>
      <c r="E857" s="8">
        <f t="shared" si="40"/>
        <v>-117.74179344233707</v>
      </c>
      <c r="F857" s="8">
        <f t="shared" si="40"/>
        <v>-182.51349249120094</v>
      </c>
      <c r="G857" s="8">
        <f t="shared" si="40"/>
        <v>-165.02698498240187</v>
      </c>
      <c r="H857" s="8">
        <f t="shared" si="40"/>
        <v>-130.05396996480371</v>
      </c>
    </row>
    <row r="858" spans="1:8" x14ac:dyDescent="0.2">
      <c r="A858" s="11"/>
      <c r="B858" s="11">
        <v>0.84</v>
      </c>
      <c r="C858">
        <f t="shared" si="41"/>
        <v>-86.41304347826086</v>
      </c>
      <c r="D858" s="8">
        <f t="shared" si="40"/>
        <v>-123.96072680557886</v>
      </c>
      <c r="E858" s="8">
        <f t="shared" si="40"/>
        <v>-117.82990162270717</v>
      </c>
      <c r="F858" s="8">
        <f t="shared" si="40"/>
        <v>-182.55147565939228</v>
      </c>
      <c r="G858" s="8">
        <f t="shared" si="40"/>
        <v>-165.10295131878459</v>
      </c>
      <c r="H858" s="8">
        <f t="shared" si="40"/>
        <v>-130.20590263756918</v>
      </c>
    </row>
    <row r="859" spans="1:8" x14ac:dyDescent="0.2">
      <c r="A859" s="11"/>
      <c r="B859" s="11">
        <v>0.84099999999999997</v>
      </c>
      <c r="C859">
        <f t="shared" si="41"/>
        <v>-86.474741988049971</v>
      </c>
      <c r="D859" s="8">
        <f t="shared" si="40"/>
        <v>-124.06875576312956</v>
      </c>
      <c r="E859" s="8">
        <f t="shared" si="40"/>
        <v>-117.91783870674294</v>
      </c>
      <c r="F859" s="8">
        <f t="shared" si="40"/>
        <v>-182.58935575254597</v>
      </c>
      <c r="G859" s="8">
        <f t="shared" si="40"/>
        <v>-165.17871150509197</v>
      </c>
      <c r="H859" s="8">
        <f t="shared" si="40"/>
        <v>-130.35742301018394</v>
      </c>
    </row>
    <row r="860" spans="1:8" x14ac:dyDescent="0.2">
      <c r="A860" s="11"/>
      <c r="B860" s="11">
        <v>0.84199999999999997</v>
      </c>
      <c r="C860">
        <f t="shared" si="41"/>
        <v>-86.536373507057547</v>
      </c>
      <c r="D860" s="8">
        <f t="shared" si="40"/>
        <v>-124.17656023798475</v>
      </c>
      <c r="E860" s="8">
        <f t="shared" si="40"/>
        <v>-118.0056051534805</v>
      </c>
      <c r="F860" s="8">
        <f t="shared" si="40"/>
        <v>-182.62713310613793</v>
      </c>
      <c r="G860" s="8">
        <f t="shared" si="40"/>
        <v>-165.25426621227587</v>
      </c>
      <c r="H860" s="8">
        <f t="shared" si="40"/>
        <v>-130.50853242455173</v>
      </c>
    </row>
    <row r="861" spans="1:8" x14ac:dyDescent="0.2">
      <c r="A861" s="11"/>
      <c r="B861" s="11">
        <v>0.84299999999999997</v>
      </c>
      <c r="C861">
        <f t="shared" si="41"/>
        <v>-86.597938144329902</v>
      </c>
      <c r="D861" s="8">
        <f t="shared" si="40"/>
        <v>-124.28414083815331</v>
      </c>
      <c r="E861" s="8">
        <f t="shared" si="40"/>
        <v>-118.09320142041791</v>
      </c>
      <c r="F861" s="8">
        <f t="shared" si="40"/>
        <v>-182.66480805437095</v>
      </c>
      <c r="G861" s="8">
        <f t="shared" si="40"/>
        <v>-165.32961610874187</v>
      </c>
      <c r="H861" s="8">
        <f t="shared" si="40"/>
        <v>-130.65923221748375</v>
      </c>
    </row>
    <row r="862" spans="1:8" x14ac:dyDescent="0.2">
      <c r="A862" s="11"/>
      <c r="B862" s="11">
        <v>0.84399999999999997</v>
      </c>
      <c r="C862">
        <f t="shared" si="41"/>
        <v>-86.659436008676778</v>
      </c>
      <c r="D862" s="8">
        <f t="shared" si="40"/>
        <v>-124.39149816962623</v>
      </c>
      <c r="E862" s="8">
        <f t="shared" si="40"/>
        <v>-118.18062796352154</v>
      </c>
      <c r="F862" s="8">
        <f t="shared" si="40"/>
        <v>-182.70238093018017</v>
      </c>
      <c r="G862" s="8">
        <f t="shared" si="40"/>
        <v>-165.40476186036031</v>
      </c>
      <c r="H862" s="8">
        <f t="shared" si="40"/>
        <v>-130.80952372072062</v>
      </c>
    </row>
    <row r="863" spans="1:8" x14ac:dyDescent="0.2">
      <c r="A863" s="11"/>
      <c r="B863" s="11">
        <v>0.84499999999999997</v>
      </c>
      <c r="C863">
        <f t="shared" si="41"/>
        <v>-86.72086720867209</v>
      </c>
      <c r="D863" s="8">
        <f t="shared" si="40"/>
        <v>-124.49863283638449</v>
      </c>
      <c r="E863" s="8">
        <f t="shared" si="40"/>
        <v>-118.26788523723171</v>
      </c>
      <c r="F863" s="8">
        <f t="shared" si="40"/>
        <v>-182.73985206523864</v>
      </c>
      <c r="G863" s="8">
        <f t="shared" si="40"/>
        <v>-165.47970413047727</v>
      </c>
      <c r="H863" s="8">
        <f t="shared" si="40"/>
        <v>-130.95940826095452</v>
      </c>
    </row>
    <row r="864" spans="1:8" x14ac:dyDescent="0.2">
      <c r="A864" s="11"/>
      <c r="B864" s="11">
        <v>0.84599999999999997</v>
      </c>
      <c r="C864">
        <f t="shared" si="41"/>
        <v>-86.782231852654391</v>
      </c>
      <c r="D864" s="8">
        <f t="shared" si="40"/>
        <v>-124.60554544040673</v>
      </c>
      <c r="E864" s="8">
        <f t="shared" si="40"/>
        <v>-118.35497369446927</v>
      </c>
      <c r="F864" s="8">
        <f t="shared" si="40"/>
        <v>-182.77722178996268</v>
      </c>
      <c r="G864" s="8">
        <f t="shared" si="40"/>
        <v>-165.55444357992536</v>
      </c>
      <c r="H864" s="8">
        <f t="shared" si="40"/>
        <v>-131.1088871598507</v>
      </c>
    </row>
    <row r="865" spans="1:8" x14ac:dyDescent="0.2">
      <c r="A865" s="11"/>
      <c r="B865" s="11">
        <v>0.84699999999999998</v>
      </c>
      <c r="C865">
        <f t="shared" si="41"/>
        <v>-86.843530048727672</v>
      </c>
      <c r="D865" s="8">
        <f t="shared" si="40"/>
        <v>-124.71223658167742</v>
      </c>
      <c r="E865" s="8">
        <f t="shared" si="40"/>
        <v>-118.44189378664126</v>
      </c>
      <c r="F865" s="8">
        <f t="shared" si="40"/>
        <v>-182.81449043351739</v>
      </c>
      <c r="G865" s="8">
        <f t="shared" si="40"/>
        <v>-165.62898086703478</v>
      </c>
      <c r="H865" s="8">
        <f t="shared" si="40"/>
        <v>-131.25796173406957</v>
      </c>
    </row>
    <row r="866" spans="1:8" x14ac:dyDescent="0.2">
      <c r="A866" s="11"/>
      <c r="B866" s="11">
        <v>0.84799999999999998</v>
      </c>
      <c r="C866">
        <f t="shared" si="41"/>
        <v>-86.904761904761898</v>
      </c>
      <c r="D866" s="8">
        <f t="shared" si="40"/>
        <v>-124.81870685819432</v>
      </c>
      <c r="E866" s="8">
        <f t="shared" si="40"/>
        <v>-118.52864596364701</v>
      </c>
      <c r="F866" s="8">
        <f t="shared" si="40"/>
        <v>-182.85165832382208</v>
      </c>
      <c r="G866" s="8">
        <f t="shared" si="40"/>
        <v>-165.70331664764413</v>
      </c>
      <c r="H866" s="8">
        <f t="shared" si="40"/>
        <v>-131.40663329528826</v>
      </c>
    </row>
    <row r="867" spans="1:8" x14ac:dyDescent="0.2">
      <c r="A867" s="11"/>
      <c r="B867" s="11">
        <v>0.84899999999999998</v>
      </c>
      <c r="C867">
        <f t="shared" si="41"/>
        <v>-86.965927528393721</v>
      </c>
      <c r="D867" s="8">
        <f t="shared" si="40"/>
        <v>-124.92495686597653</v>
      </c>
      <c r="E867" s="8">
        <f t="shared" si="40"/>
        <v>-118.61523067388421</v>
      </c>
      <c r="F867" s="8">
        <f t="shared" si="40"/>
        <v>-182.88872578755556</v>
      </c>
      <c r="G867" s="8">
        <f t="shared" si="40"/>
        <v>-165.77745157511112</v>
      </c>
      <c r="H867" s="8">
        <f t="shared" si="40"/>
        <v>-131.5549031502222</v>
      </c>
    </row>
    <row r="868" spans="1:8" x14ac:dyDescent="0.2">
      <c r="A868" s="11"/>
      <c r="B868" s="11">
        <v>0.85</v>
      </c>
      <c r="C868">
        <f t="shared" si="41"/>
        <v>-87.027027027027032</v>
      </c>
      <c r="D868" s="8">
        <f t="shared" si="40"/>
        <v>-125.03098719907203</v>
      </c>
      <c r="E868" s="8">
        <f t="shared" si="40"/>
        <v>-118.70164836425474</v>
      </c>
      <c r="F868" s="8">
        <f t="shared" si="40"/>
        <v>-182.92569315016161</v>
      </c>
      <c r="G868" s="8">
        <f t="shared" si="40"/>
        <v>-165.85138630032318</v>
      </c>
      <c r="H868" s="8">
        <f t="shared" si="40"/>
        <v>-131.70277260064637</v>
      </c>
    </row>
    <row r="869" spans="1:8" x14ac:dyDescent="0.2">
      <c r="A869" s="11"/>
      <c r="B869" s="11">
        <v>0.85099999999999998</v>
      </c>
      <c r="C869">
        <f t="shared" si="41"/>
        <v>-87.088060507833603</v>
      </c>
      <c r="D869" s="8">
        <f t="shared" si="40"/>
        <v>-125.13679844956529</v>
      </c>
      <c r="E869" s="8">
        <f t="shared" si="40"/>
        <v>-118.78789948017062</v>
      </c>
      <c r="F869" s="8">
        <f t="shared" si="40"/>
        <v>-182.9625607358542</v>
      </c>
      <c r="G869" s="8">
        <f t="shared" si="40"/>
        <v>-165.92512147170839</v>
      </c>
      <c r="H869" s="8">
        <f t="shared" si="40"/>
        <v>-131.85024294341679</v>
      </c>
    </row>
    <row r="870" spans="1:8" x14ac:dyDescent="0.2">
      <c r="A870" s="11"/>
      <c r="B870" s="11">
        <v>0.85199999999999998</v>
      </c>
      <c r="C870">
        <f t="shared" si="41"/>
        <v>-87.149028077753769</v>
      </c>
      <c r="D870" s="8">
        <f t="shared" si="40"/>
        <v>-125.24239120758524</v>
      </c>
      <c r="E870" s="8">
        <f t="shared" si="40"/>
        <v>-118.87398446555999</v>
      </c>
      <c r="F870" s="8">
        <f t="shared" si="40"/>
        <v>-182.99932886762295</v>
      </c>
      <c r="G870" s="8">
        <f t="shared" si="40"/>
        <v>-165.9986577352459</v>
      </c>
      <c r="H870" s="8">
        <f t="shared" si="40"/>
        <v>-131.9973154704918</v>
      </c>
    </row>
    <row r="871" spans="1:8" x14ac:dyDescent="0.2">
      <c r="A871" s="11"/>
      <c r="B871" s="11">
        <v>0.85299999999999998</v>
      </c>
      <c r="C871">
        <f t="shared" si="41"/>
        <v>-87.209929843497036</v>
      </c>
      <c r="D871" s="8">
        <f t="shared" si="40"/>
        <v>-125.3477660613126</v>
      </c>
      <c r="E871" s="8">
        <f t="shared" si="40"/>
        <v>-118.9599037628729</v>
      </c>
      <c r="F871" s="8">
        <f t="shared" si="40"/>
        <v>-183.03599786723825</v>
      </c>
      <c r="G871" s="8">
        <f t="shared" si="40"/>
        <v>-166.07199573447653</v>
      </c>
      <c r="H871" s="8">
        <f t="shared" si="40"/>
        <v>-132.14399146895306</v>
      </c>
    </row>
    <row r="872" spans="1:8" x14ac:dyDescent="0.2">
      <c r="A872" s="11"/>
      <c r="B872" s="11">
        <v>0.85399999999999998</v>
      </c>
      <c r="C872">
        <f t="shared" si="41"/>
        <v>-87.270765911542611</v>
      </c>
      <c r="D872" s="8">
        <f t="shared" si="40"/>
        <v>-125.45292359698756</v>
      </c>
      <c r="E872" s="8">
        <f t="shared" si="40"/>
        <v>-119.04565781308712</v>
      </c>
      <c r="F872" s="8">
        <f t="shared" si="40"/>
        <v>-183.07256805525665</v>
      </c>
      <c r="G872" s="8">
        <f t="shared" si="40"/>
        <v>-166.14513611051331</v>
      </c>
      <c r="H872" s="8">
        <f t="shared" si="40"/>
        <v>-132.29027222102661</v>
      </c>
    </row>
    <row r="873" spans="1:8" x14ac:dyDescent="0.2">
      <c r="A873" s="11"/>
      <c r="B873" s="11">
        <v>0.85499999999999998</v>
      </c>
      <c r="C873">
        <f t="shared" si="41"/>
        <v>-87.331536388140165</v>
      </c>
      <c r="D873" s="8">
        <f t="shared" si="40"/>
        <v>-125.5578643989173</v>
      </c>
      <c r="E873" s="8">
        <f t="shared" si="40"/>
        <v>-119.13124705571397</v>
      </c>
      <c r="F873" s="8">
        <f t="shared" si="40"/>
        <v>-183.10903975102596</v>
      </c>
      <c r="G873" s="8">
        <f t="shared" si="40"/>
        <v>-166.21807950205192</v>
      </c>
      <c r="H873" s="8">
        <f t="shared" si="40"/>
        <v>-132.43615900410384</v>
      </c>
    </row>
    <row r="874" spans="1:8" x14ac:dyDescent="0.2">
      <c r="A874" s="11"/>
      <c r="B874" s="11">
        <v>0.85599999999999998</v>
      </c>
      <c r="C874">
        <f t="shared" si="41"/>
        <v>-87.392241379310335</v>
      </c>
      <c r="D874" s="8">
        <f t="shared" si="40"/>
        <v>-125.6625890494836</v>
      </c>
      <c r="E874" s="8">
        <f t="shared" si="40"/>
        <v>-119.21667192880422</v>
      </c>
      <c r="F874" s="8">
        <f t="shared" si="40"/>
        <v>-183.14541327269058</v>
      </c>
      <c r="G874" s="8">
        <f t="shared" si="40"/>
        <v>-166.29082654538118</v>
      </c>
      <c r="H874" s="8">
        <f t="shared" si="40"/>
        <v>-132.58165309076236</v>
      </c>
    </row>
    <row r="875" spans="1:8" x14ac:dyDescent="0.2">
      <c r="A875" s="11"/>
      <c r="B875" s="11">
        <v>0.85699999999999998</v>
      </c>
      <c r="C875">
        <f t="shared" si="41"/>
        <v>-87.452880990845443</v>
      </c>
      <c r="D875" s="8">
        <f t="shared" si="40"/>
        <v>-125.76709812915031</v>
      </c>
      <c r="E875" s="8">
        <f t="shared" si="40"/>
        <v>-119.30193286895367</v>
      </c>
      <c r="F875" s="8">
        <f t="shared" si="40"/>
        <v>-183.18168893719664</v>
      </c>
      <c r="G875" s="8">
        <f t="shared" si="40"/>
        <v>-166.36337787439328</v>
      </c>
      <c r="H875" s="8">
        <f t="shared" si="40"/>
        <v>-132.72675574878653</v>
      </c>
    </row>
    <row r="876" spans="1:8" x14ac:dyDescent="0.2">
      <c r="A876" s="11"/>
      <c r="B876" s="11">
        <v>0.85799999999999998</v>
      </c>
      <c r="C876">
        <f t="shared" si="41"/>
        <v>-87.513455328310016</v>
      </c>
      <c r="D876" s="8">
        <f t="shared" si="40"/>
        <v>-125.87139221647062</v>
      </c>
      <c r="E876" s="8">
        <f t="shared" si="40"/>
        <v>-119.38703031130915</v>
      </c>
      <c r="F876" s="8">
        <f t="shared" si="40"/>
        <v>-183.21786706029707</v>
      </c>
      <c r="G876" s="8">
        <f t="shared" si="40"/>
        <v>-166.43573412059411</v>
      </c>
      <c r="H876" s="8">
        <f t="shared" si="40"/>
        <v>-132.87146824118821</v>
      </c>
    </row>
    <row r="877" spans="1:8" x14ac:dyDescent="0.2">
      <c r="A877" s="11"/>
      <c r="B877" s="11">
        <v>0.85899999999999999</v>
      </c>
      <c r="C877">
        <f t="shared" si="41"/>
        <v>-87.573964497041416</v>
      </c>
      <c r="D877" s="8">
        <f t="shared" si="40"/>
        <v>-125.97547188809472</v>
      </c>
      <c r="E877" s="8">
        <f t="shared" si="40"/>
        <v>-119.47196468957384</v>
      </c>
      <c r="F877" s="8">
        <f t="shared" si="40"/>
        <v>-183.25394795655683</v>
      </c>
      <c r="G877" s="8">
        <f t="shared" si="40"/>
        <v>-166.50789591311366</v>
      </c>
      <c r="H877" s="8">
        <f t="shared" si="40"/>
        <v>-133.01579182622734</v>
      </c>
    </row>
    <row r="878" spans="1:8" x14ac:dyDescent="0.2">
      <c r="A878" s="11"/>
      <c r="B878" s="11">
        <v>0.86</v>
      </c>
      <c r="C878">
        <f t="shared" si="41"/>
        <v>-87.634408602150529</v>
      </c>
      <c r="D878" s="8">
        <f t="shared" si="40"/>
        <v>-126.07933771877704</v>
      </c>
      <c r="E878" s="8">
        <f t="shared" si="40"/>
        <v>-119.55673643601331</v>
      </c>
      <c r="F878" s="8">
        <f t="shared" si="40"/>
        <v>-183.28993193935807</v>
      </c>
      <c r="G878" s="8">
        <f t="shared" si="40"/>
        <v>-166.57986387871614</v>
      </c>
      <c r="H878" s="8">
        <f t="shared" si="40"/>
        <v>-133.15972775743225</v>
      </c>
    </row>
    <row r="879" spans="1:8" x14ac:dyDescent="0.2">
      <c r="A879" s="11"/>
      <c r="B879" s="11">
        <v>0.86099999999999999</v>
      </c>
      <c r="C879">
        <f t="shared" si="41"/>
        <v>-87.694787748522302</v>
      </c>
      <c r="D879" s="8">
        <f t="shared" si="40"/>
        <v>-126.18299028138372</v>
      </c>
      <c r="E879" s="8">
        <f t="shared" si="40"/>
        <v>-119.64134598146109</v>
      </c>
      <c r="F879" s="8">
        <f t="shared" si="40"/>
        <v>-183.32581932090503</v>
      </c>
      <c r="G879" s="8">
        <f t="shared" si="40"/>
        <v>-166.65163864181002</v>
      </c>
      <c r="H879" s="8">
        <f t="shared" si="40"/>
        <v>-133.30327728362005</v>
      </c>
    </row>
    <row r="880" spans="1:8" x14ac:dyDescent="0.2">
      <c r="A880" s="11"/>
      <c r="B880" s="11">
        <v>0.86199999999999999</v>
      </c>
      <c r="C880">
        <f t="shared" si="41"/>
        <v>-87.75510204081634</v>
      </c>
      <c r="D880" s="8">
        <f t="shared" ref="D880:H911" si="42">$D$5+(D$6/(1+$B880))+(D$7/(1+$B880)^2)+(D$8/(1+$B880)^3)+(D$9/(1+$B880)^4)</f>
        <v>-126.2864301468997</v>
      </c>
      <c r="E880" s="8">
        <f t="shared" si="42"/>
        <v>-119.72579375532408</v>
      </c>
      <c r="F880" s="8">
        <f t="shared" si="42"/>
        <v>-183.3616104122292</v>
      </c>
      <c r="G880" s="8">
        <f t="shared" si="42"/>
        <v>-166.72322082445839</v>
      </c>
      <c r="H880" s="8">
        <f t="shared" si="42"/>
        <v>-133.44644164891679</v>
      </c>
    </row>
    <row r="881" spans="1:8" x14ac:dyDescent="0.2">
      <c r="A881" s="11"/>
      <c r="B881" s="11">
        <v>0.86299999999999999</v>
      </c>
      <c r="C881">
        <f t="shared" si="41"/>
        <v>-87.815351583467532</v>
      </c>
      <c r="D881" s="8">
        <f t="shared" si="42"/>
        <v>-126.38965788443622</v>
      </c>
      <c r="E881" s="8">
        <f t="shared" si="42"/>
        <v>-119.81008018558845</v>
      </c>
      <c r="F881" s="8">
        <f t="shared" si="42"/>
        <v>-183.3973055231944</v>
      </c>
      <c r="G881" s="8">
        <f t="shared" si="42"/>
        <v>-166.79461104638881</v>
      </c>
      <c r="H881" s="8">
        <f t="shared" si="42"/>
        <v>-133.58922209277762</v>
      </c>
    </row>
    <row r="882" spans="1:8" x14ac:dyDescent="0.2">
      <c r="A882" s="11"/>
      <c r="B882" s="11">
        <v>0.86399999999999999</v>
      </c>
      <c r="C882">
        <f t="shared" si="41"/>
        <v>-87.875536480686691</v>
      </c>
      <c r="D882" s="8">
        <f t="shared" si="42"/>
        <v>-126.49267406123812</v>
      </c>
      <c r="E882" s="8">
        <f t="shared" si="42"/>
        <v>-119.89420569882512</v>
      </c>
      <c r="F882" s="8">
        <f t="shared" si="42"/>
        <v>-183.43290496250171</v>
      </c>
      <c r="G882" s="8">
        <f t="shared" si="42"/>
        <v>-166.86580992500342</v>
      </c>
      <c r="H882" s="8">
        <f t="shared" si="42"/>
        <v>-133.73161985000687</v>
      </c>
    </row>
    <row r="883" spans="1:8" x14ac:dyDescent="0.2">
      <c r="A883" s="11"/>
      <c r="B883" s="11">
        <v>0.86499999999999999</v>
      </c>
      <c r="C883">
        <f t="shared" si="41"/>
        <v>-87.935656836461121</v>
      </c>
      <c r="D883" s="8">
        <f t="shared" si="42"/>
        <v>-126.59547924269076</v>
      </c>
      <c r="E883" s="8">
        <f t="shared" si="42"/>
        <v>-119.97817072019528</v>
      </c>
      <c r="F883" s="8">
        <f t="shared" si="42"/>
        <v>-183.4684090376945</v>
      </c>
      <c r="G883" s="8">
        <f t="shared" si="42"/>
        <v>-166.936818075389</v>
      </c>
      <c r="H883" s="8">
        <f t="shared" si="42"/>
        <v>-133.873636150778</v>
      </c>
    </row>
    <row r="884" spans="1:8" x14ac:dyDescent="0.2">
      <c r="A884" s="11"/>
      <c r="B884" s="11">
        <v>0.86599999999999999</v>
      </c>
      <c r="C884">
        <f t="shared" si="41"/>
        <v>-87.9957127545552</v>
      </c>
      <c r="D884" s="8">
        <f t="shared" si="42"/>
        <v>-126.69807399232756</v>
      </c>
      <c r="E884" s="8">
        <f t="shared" si="42"/>
        <v>-120.06197567345593</v>
      </c>
      <c r="F884" s="8">
        <f t="shared" si="42"/>
        <v>-183.50381805516332</v>
      </c>
      <c r="G884" s="8">
        <f t="shared" si="42"/>
        <v>-167.00763611032662</v>
      </c>
      <c r="H884" s="8">
        <f t="shared" si="42"/>
        <v>-134.01527222065323</v>
      </c>
    </row>
    <row r="885" spans="1:8" x14ac:dyDescent="0.2">
      <c r="A885" s="11"/>
      <c r="B885" s="11">
        <v>0.86699999999999999</v>
      </c>
      <c r="C885">
        <f t="shared" si="41"/>
        <v>-88.055704338510978</v>
      </c>
      <c r="D885" s="8">
        <f t="shared" si="42"/>
        <v>-126.8004588718369</v>
      </c>
      <c r="E885" s="8">
        <f t="shared" si="42"/>
        <v>-120.14562098096536</v>
      </c>
      <c r="F885" s="8">
        <f t="shared" si="42"/>
        <v>-183.53913232015088</v>
      </c>
      <c r="G885" s="8">
        <f t="shared" si="42"/>
        <v>-167.07826464030177</v>
      </c>
      <c r="H885" s="8">
        <f t="shared" si="42"/>
        <v>-134.15652928060354</v>
      </c>
    </row>
    <row r="886" spans="1:8" x14ac:dyDescent="0.2">
      <c r="A886" s="11"/>
      <c r="B886" s="11">
        <v>0.86799999999999999</v>
      </c>
      <c r="C886">
        <f t="shared" si="41"/>
        <v>-88.115631691648815</v>
      </c>
      <c r="D886" s="8">
        <f t="shared" si="42"/>
        <v>-126.90263444106938</v>
      </c>
      <c r="E886" s="8">
        <f t="shared" si="42"/>
        <v>-120.22910706368873</v>
      </c>
      <c r="F886" s="8">
        <f t="shared" si="42"/>
        <v>-183.57435213675706</v>
      </c>
      <c r="G886" s="8">
        <f t="shared" si="42"/>
        <v>-167.14870427351408</v>
      </c>
      <c r="H886" s="8">
        <f t="shared" si="42"/>
        <v>-134.29740854702817</v>
      </c>
    </row>
    <row r="887" spans="1:8" x14ac:dyDescent="0.2">
      <c r="A887" s="11"/>
      <c r="B887" s="11">
        <v>0.86899999999999999</v>
      </c>
      <c r="C887">
        <f t="shared" si="41"/>
        <v>-88.175494917067951</v>
      </c>
      <c r="D887" s="8">
        <f t="shared" si="42"/>
        <v>-127.00460125804489</v>
      </c>
      <c r="E887" s="8">
        <f t="shared" si="42"/>
        <v>-120.31243434120344</v>
      </c>
      <c r="F887" s="8">
        <f t="shared" si="42"/>
        <v>-183.60947780794356</v>
      </c>
      <c r="G887" s="8">
        <f t="shared" si="42"/>
        <v>-167.21895561588715</v>
      </c>
      <c r="H887" s="8">
        <f t="shared" si="42"/>
        <v>-134.43791123177431</v>
      </c>
    </row>
    <row r="888" spans="1:8" x14ac:dyDescent="0.2">
      <c r="A888" s="11"/>
      <c r="B888" s="11">
        <v>0.87</v>
      </c>
      <c r="C888">
        <f t="shared" si="41"/>
        <v>-88.235294117647072</v>
      </c>
      <c r="D888" s="8">
        <f t="shared" si="42"/>
        <v>-127.10635987895961</v>
      </c>
      <c r="E888" s="8">
        <f t="shared" si="42"/>
        <v>-120.39560323170457</v>
      </c>
      <c r="F888" s="8">
        <f t="shared" si="42"/>
        <v>-183.64450963553907</v>
      </c>
      <c r="G888" s="8">
        <f t="shared" si="42"/>
        <v>-167.28901927107813</v>
      </c>
      <c r="H888" s="8">
        <f t="shared" si="42"/>
        <v>-134.57803854215629</v>
      </c>
    </row>
    <row r="889" spans="1:8" x14ac:dyDescent="0.2">
      <c r="A889" s="11"/>
      <c r="B889" s="11">
        <v>0.871</v>
      </c>
      <c r="C889">
        <f t="shared" si="41"/>
        <v>-88.295029396044896</v>
      </c>
      <c r="D889" s="8">
        <f t="shared" si="42"/>
        <v>-127.20791085819312</v>
      </c>
      <c r="E889" s="8">
        <f t="shared" si="42"/>
        <v>-120.47861415201029</v>
      </c>
      <c r="F889" s="8">
        <f t="shared" si="42"/>
        <v>-183.6794479202438</v>
      </c>
      <c r="G889" s="8">
        <f t="shared" si="42"/>
        <v>-167.35889584048761</v>
      </c>
      <c r="H889" s="8">
        <f t="shared" si="42"/>
        <v>-134.71779168097521</v>
      </c>
    </row>
    <row r="890" spans="1:8" x14ac:dyDescent="0.2">
      <c r="A890" s="11"/>
      <c r="B890" s="11">
        <v>0.872</v>
      </c>
      <c r="C890">
        <f t="shared" si="41"/>
        <v>-88.354700854700852</v>
      </c>
      <c r="D890" s="8">
        <f t="shared" si="42"/>
        <v>-127.30925474831538</v>
      </c>
      <c r="E890" s="8">
        <f t="shared" si="42"/>
        <v>-120.56146751756735</v>
      </c>
      <c r="F890" s="8">
        <f t="shared" si="42"/>
        <v>-183.71429296163456</v>
      </c>
      <c r="G890" s="8">
        <f t="shared" si="42"/>
        <v>-167.42858592326908</v>
      </c>
      <c r="H890" s="8">
        <f t="shared" si="42"/>
        <v>-134.85717184653817</v>
      </c>
    </row>
    <row r="891" spans="1:8" x14ac:dyDescent="0.2">
      <c r="A891" s="11"/>
      <c r="B891" s="11">
        <v>0.873</v>
      </c>
      <c r="C891">
        <f t="shared" si="41"/>
        <v>-88.414308595835564</v>
      </c>
      <c r="D891" s="8">
        <f t="shared" si="42"/>
        <v>-127.41039210009373</v>
      </c>
      <c r="E891" s="8">
        <f t="shared" si="42"/>
        <v>-120.64416374245636</v>
      </c>
      <c r="F891" s="8">
        <f t="shared" si="42"/>
        <v>-183.74904505816934</v>
      </c>
      <c r="G891" s="8">
        <f t="shared" si="42"/>
        <v>-167.49809011633869</v>
      </c>
      <c r="H891" s="8">
        <f t="shared" si="42"/>
        <v>-134.99618023267735</v>
      </c>
    </row>
    <row r="892" spans="1:8" x14ac:dyDescent="0.2">
      <c r="A892" s="11"/>
      <c r="B892" s="11">
        <v>0.874</v>
      </c>
      <c r="C892">
        <f t="shared" si="41"/>
        <v>-88.473852721451451</v>
      </c>
      <c r="D892" s="8">
        <f t="shared" si="42"/>
        <v>-127.51132346249972</v>
      </c>
      <c r="E892" s="8">
        <f t="shared" si="42"/>
        <v>-120.72670323939681</v>
      </c>
      <c r="F892" s="8">
        <f t="shared" si="42"/>
        <v>-183.78370450719228</v>
      </c>
      <c r="G892" s="8">
        <f t="shared" si="42"/>
        <v>-167.56740901438457</v>
      </c>
      <c r="H892" s="8">
        <f t="shared" si="42"/>
        <v>-135.13481802876913</v>
      </c>
    </row>
    <row r="893" spans="1:8" x14ac:dyDescent="0.2">
      <c r="A893" s="11"/>
      <c r="B893" s="11">
        <v>0.875</v>
      </c>
      <c r="C893">
        <f t="shared" si="41"/>
        <v>-88.533333333333331</v>
      </c>
      <c r="D893" s="8">
        <f t="shared" si="42"/>
        <v>-127.61204938271604</v>
      </c>
      <c r="E893" s="8">
        <f t="shared" si="42"/>
        <v>-120.80908641975307</v>
      </c>
      <c r="F893" s="8">
        <f t="shared" si="42"/>
        <v>-183.81827160493827</v>
      </c>
      <c r="G893" s="8">
        <f t="shared" si="42"/>
        <v>-167.63654320987655</v>
      </c>
      <c r="H893" s="8">
        <f t="shared" si="42"/>
        <v>-135.2730864197531</v>
      </c>
    </row>
    <row r="894" spans="1:8" x14ac:dyDescent="0.2">
      <c r="A894" s="11"/>
      <c r="B894" s="11">
        <v>0.876</v>
      </c>
      <c r="C894">
        <f t="shared" si="41"/>
        <v>-88.592750533049028</v>
      </c>
      <c r="D894" s="8">
        <f t="shared" si="42"/>
        <v>-127.7125704061436</v>
      </c>
      <c r="E894" s="8">
        <f t="shared" si="42"/>
        <v>-120.89131369353912</v>
      </c>
      <c r="F894" s="8">
        <f t="shared" si="42"/>
        <v>-183.85274664653775</v>
      </c>
      <c r="G894" s="8">
        <f t="shared" si="42"/>
        <v>-167.70549329307548</v>
      </c>
      <c r="H894" s="8">
        <f t="shared" si="42"/>
        <v>-135.41098658615095</v>
      </c>
    </row>
    <row r="895" spans="1:8" x14ac:dyDescent="0.2">
      <c r="A895" s="11"/>
      <c r="B895" s="11">
        <v>0.877</v>
      </c>
      <c r="C895">
        <f t="shared" si="41"/>
        <v>-88.652104421949915</v>
      </c>
      <c r="D895" s="8">
        <f t="shared" si="42"/>
        <v>-127.81288707640806</v>
      </c>
      <c r="E895" s="8">
        <f t="shared" si="42"/>
        <v>-120.9733854694239</v>
      </c>
      <c r="F895" s="8">
        <f t="shared" si="42"/>
        <v>-183.88712992602137</v>
      </c>
      <c r="G895" s="8">
        <f t="shared" si="42"/>
        <v>-167.77425985204275</v>
      </c>
      <c r="H895" s="8">
        <f t="shared" si="42"/>
        <v>-135.54851970408549</v>
      </c>
    </row>
    <row r="896" spans="1:8" x14ac:dyDescent="0.2">
      <c r="A896" s="11"/>
      <c r="B896" s="11">
        <v>0.878</v>
      </c>
      <c r="C896">
        <f t="shared" si="41"/>
        <v>-88.711395101171462</v>
      </c>
      <c r="D896" s="8">
        <f t="shared" si="42"/>
        <v>-127.91299993536691</v>
      </c>
      <c r="E896" s="8">
        <f t="shared" si="42"/>
        <v>-121.05530215473684</v>
      </c>
      <c r="F896" s="8">
        <f t="shared" si="42"/>
        <v>-183.92142173632473</v>
      </c>
      <c r="G896" s="8">
        <f t="shared" si="42"/>
        <v>-167.84284347264946</v>
      </c>
      <c r="H896" s="8">
        <f t="shared" si="42"/>
        <v>-135.6856869452989</v>
      </c>
    </row>
    <row r="897" spans="1:8" x14ac:dyDescent="0.2">
      <c r="A897" s="11"/>
      <c r="B897" s="11">
        <v>0.879</v>
      </c>
      <c r="C897">
        <f t="shared" si="41"/>
        <v>-88.770622671633845</v>
      </c>
      <c r="D897" s="8">
        <f t="shared" si="42"/>
        <v>-128.01290952311606</v>
      </c>
      <c r="E897" s="8">
        <f t="shared" si="42"/>
        <v>-121.13706415547263</v>
      </c>
      <c r="F897" s="8">
        <f t="shared" si="42"/>
        <v>-183.95562236929297</v>
      </c>
      <c r="G897" s="8">
        <f t="shared" si="42"/>
        <v>-167.91124473858591</v>
      </c>
      <c r="H897" s="8">
        <f t="shared" si="42"/>
        <v>-135.82248947717181</v>
      </c>
    </row>
    <row r="898" spans="1:8" x14ac:dyDescent="0.2">
      <c r="A898" s="11"/>
      <c r="B898" s="11">
        <v>0.88</v>
      </c>
      <c r="C898">
        <f t="shared" si="41"/>
        <v>-88.829787234042541</v>
      </c>
      <c r="D898" s="8">
        <f t="shared" si="42"/>
        <v>-128.11261637799683</v>
      </c>
      <c r="E898" s="8">
        <f t="shared" si="42"/>
        <v>-121.21867187629682</v>
      </c>
      <c r="F898" s="8">
        <f t="shared" si="42"/>
        <v>-183.98973211568543</v>
      </c>
      <c r="G898" s="8">
        <f t="shared" si="42"/>
        <v>-167.97946423137086</v>
      </c>
      <c r="H898" s="8">
        <f t="shared" si="42"/>
        <v>-135.95892846274171</v>
      </c>
    </row>
    <row r="899" spans="1:8" x14ac:dyDescent="0.2">
      <c r="A899" s="11"/>
      <c r="B899" s="11">
        <v>0.88100000000000001</v>
      </c>
      <c r="C899">
        <f t="shared" si="41"/>
        <v>-88.888888888888886</v>
      </c>
      <c r="D899" s="8">
        <f t="shared" si="42"/>
        <v>-128.21212103660238</v>
      </c>
      <c r="E899" s="8">
        <f t="shared" si="42"/>
        <v>-121.30012572055075</v>
      </c>
      <c r="F899" s="8">
        <f t="shared" si="42"/>
        <v>-184.02375126518032</v>
      </c>
      <c r="G899" s="8">
        <f t="shared" si="42"/>
        <v>-168.04750253036067</v>
      </c>
      <c r="H899" s="8">
        <f t="shared" si="42"/>
        <v>-136.09500506072135</v>
      </c>
    </row>
    <row r="900" spans="1:8" x14ac:dyDescent="0.2">
      <c r="A900" s="11"/>
      <c r="B900" s="11">
        <v>0.88200000000000001</v>
      </c>
      <c r="C900">
        <f t="shared" si="41"/>
        <v>-88.947927736450595</v>
      </c>
      <c r="D900" s="8">
        <f t="shared" si="42"/>
        <v>-128.31142403378465</v>
      </c>
      <c r="E900" s="8">
        <f t="shared" si="42"/>
        <v>-121.38142609025684</v>
      </c>
      <c r="F900" s="8">
        <f t="shared" si="42"/>
        <v>-184.05768010637928</v>
      </c>
      <c r="G900" s="8">
        <f t="shared" si="42"/>
        <v>-168.11536021275856</v>
      </c>
      <c r="H900" s="8">
        <f t="shared" si="42"/>
        <v>-136.23072042551709</v>
      </c>
    </row>
    <row r="901" spans="1:8" x14ac:dyDescent="0.2">
      <c r="A901" s="11"/>
      <c r="B901" s="11">
        <v>0.88300000000000001</v>
      </c>
      <c r="C901">
        <f t="shared" si="41"/>
        <v>-89.00690387679235</v>
      </c>
      <c r="D901" s="8">
        <f t="shared" si="42"/>
        <v>-128.41052590266088</v>
      </c>
      <c r="E901" s="8">
        <f t="shared" si="42"/>
        <v>-121.46257338612349</v>
      </c>
      <c r="F901" s="8">
        <f t="shared" si="42"/>
        <v>-184.09151892681183</v>
      </c>
      <c r="G901" s="8">
        <f t="shared" si="42"/>
        <v>-168.18303785362366</v>
      </c>
      <c r="H901" s="8">
        <f t="shared" si="42"/>
        <v>-136.36607570724729</v>
      </c>
    </row>
    <row r="902" spans="1:8" x14ac:dyDescent="0.2">
      <c r="A902" s="11"/>
      <c r="B902" s="11">
        <v>0.88400000000000001</v>
      </c>
      <c r="C902">
        <f t="shared" si="41"/>
        <v>-89.065817409766453</v>
      </c>
      <c r="D902" s="8">
        <f t="shared" si="42"/>
        <v>-128.50942717462036</v>
      </c>
      <c r="E902" s="8">
        <f t="shared" si="42"/>
        <v>-121.54356800755048</v>
      </c>
      <c r="F902" s="8">
        <f t="shared" si="42"/>
        <v>-184.12526801294013</v>
      </c>
      <c r="G902" s="8">
        <f t="shared" si="42"/>
        <v>-168.25053602588022</v>
      </c>
      <c r="H902" s="8">
        <f t="shared" si="42"/>
        <v>-136.50107205176047</v>
      </c>
    </row>
    <row r="903" spans="1:8" x14ac:dyDescent="0.2">
      <c r="A903" s="11"/>
      <c r="B903" s="11">
        <v>0.88500000000000001</v>
      </c>
      <c r="C903">
        <f t="shared" si="41"/>
        <v>-89.124668435013263</v>
      </c>
      <c r="D903" s="8">
        <f t="shared" si="42"/>
        <v>-128.60812837933102</v>
      </c>
      <c r="E903" s="8">
        <f t="shared" si="42"/>
        <v>-121.62441035263382</v>
      </c>
      <c r="F903" s="8">
        <f t="shared" si="42"/>
        <v>-184.15892765016335</v>
      </c>
      <c r="G903" s="8">
        <f t="shared" si="42"/>
        <v>-168.31785530032667</v>
      </c>
      <c r="H903" s="8">
        <f t="shared" si="42"/>
        <v>-136.63571060065337</v>
      </c>
    </row>
    <row r="904" spans="1:8" x14ac:dyDescent="0.2">
      <c r="A904" s="11"/>
      <c r="B904" s="11">
        <v>0.88600000000000001</v>
      </c>
      <c r="C904">
        <f t="shared" si="41"/>
        <v>-89.183457051961838</v>
      </c>
      <c r="D904" s="8">
        <f t="shared" si="42"/>
        <v>-128.70663004474582</v>
      </c>
      <c r="E904" s="8">
        <f t="shared" si="42"/>
        <v>-121.70510081817088</v>
      </c>
      <c r="F904" s="8">
        <f t="shared" si="42"/>
        <v>-184.19249812282223</v>
      </c>
      <c r="G904" s="8">
        <f t="shared" si="42"/>
        <v>-168.38499624564449</v>
      </c>
      <c r="H904" s="8">
        <f t="shared" si="42"/>
        <v>-136.76999249128895</v>
      </c>
    </row>
    <row r="905" spans="1:8" x14ac:dyDescent="0.2">
      <c r="A905" s="11"/>
      <c r="B905" s="11">
        <v>0.88700000000000001</v>
      </c>
      <c r="C905">
        <f t="shared" si="41"/>
        <v>-89.24218335983042</v>
      </c>
      <c r="D905" s="8">
        <f t="shared" si="42"/>
        <v>-128.80493269710959</v>
      </c>
      <c r="E905" s="8">
        <f t="shared" si="42"/>
        <v>-121.78563979966543</v>
      </c>
      <c r="F905" s="8">
        <f t="shared" si="42"/>
        <v>-184.22597971420362</v>
      </c>
      <c r="G905" s="8">
        <f t="shared" si="42"/>
        <v>-168.45195942840721</v>
      </c>
      <c r="H905" s="8">
        <f t="shared" si="42"/>
        <v>-136.90391885681441</v>
      </c>
    </row>
    <row r="906" spans="1:8" x14ac:dyDescent="0.2">
      <c r="A906" s="11"/>
      <c r="B906" s="11">
        <v>0.88800000000000001</v>
      </c>
      <c r="C906">
        <f t="shared" si="41"/>
        <v>-89.300847457627114</v>
      </c>
      <c r="D906" s="8">
        <f t="shared" si="42"/>
        <v>-128.90303686096541</v>
      </c>
      <c r="E906" s="8">
        <f t="shared" si="42"/>
        <v>-121.86602769133269</v>
      </c>
      <c r="F906" s="8">
        <f t="shared" si="42"/>
        <v>-184.25937270654475</v>
      </c>
      <c r="G906" s="8">
        <f t="shared" si="42"/>
        <v>-168.51874541308953</v>
      </c>
      <c r="H906" s="8">
        <f t="shared" si="42"/>
        <v>-137.03749082617907</v>
      </c>
    </row>
    <row r="907" spans="1:8" x14ac:dyDescent="0.2">
      <c r="A907" s="11"/>
      <c r="B907" s="11">
        <v>0.88900000000000001</v>
      </c>
      <c r="C907">
        <f t="shared" si="41"/>
        <v>-89.359449444150343</v>
      </c>
      <c r="D907" s="8">
        <f t="shared" si="42"/>
        <v>-129.00094305916107</v>
      </c>
      <c r="E907" s="8">
        <f t="shared" si="42"/>
        <v>-121.94626488610425</v>
      </c>
      <c r="F907" s="8">
        <f t="shared" si="42"/>
        <v>-184.29267738103798</v>
      </c>
      <c r="G907" s="8">
        <f t="shared" si="42"/>
        <v>-168.58535476207595</v>
      </c>
      <c r="H907" s="8">
        <f t="shared" si="42"/>
        <v>-137.17070952415193</v>
      </c>
    </row>
    <row r="908" spans="1:8" x14ac:dyDescent="0.2">
      <c r="A908" s="11"/>
      <c r="B908" s="11">
        <v>0.89</v>
      </c>
      <c r="C908">
        <f t="shared" si="41"/>
        <v>-89.417989417989432</v>
      </c>
      <c r="D908" s="8">
        <f t="shared" si="42"/>
        <v>-129.09865181285565</v>
      </c>
      <c r="E908" s="8">
        <f t="shared" si="42"/>
        <v>-122.026351775633</v>
      </c>
      <c r="F908" s="8">
        <f t="shared" si="42"/>
        <v>-184.32589401783491</v>
      </c>
      <c r="G908" s="8">
        <f t="shared" si="42"/>
        <v>-168.6517880356698</v>
      </c>
      <c r="H908" s="8">
        <f t="shared" si="42"/>
        <v>-137.30357607133959</v>
      </c>
    </row>
    <row r="909" spans="1:8" x14ac:dyDescent="0.2">
      <c r="A909" s="11"/>
      <c r="B909" s="11">
        <v>0.89100000000000001</v>
      </c>
      <c r="C909">
        <f t="shared" si="41"/>
        <v>-89.476467477525119</v>
      </c>
      <c r="D909" s="8">
        <f t="shared" si="42"/>
        <v>-129.19616364152563</v>
      </c>
      <c r="E909" s="8">
        <f t="shared" si="42"/>
        <v>-122.10628875029816</v>
      </c>
      <c r="F909" s="8">
        <f t="shared" si="42"/>
        <v>-184.35902289605093</v>
      </c>
      <c r="G909" s="8">
        <f t="shared" si="42"/>
        <v>-168.71804579210183</v>
      </c>
      <c r="H909" s="8">
        <f t="shared" si="42"/>
        <v>-137.43609158420367</v>
      </c>
    </row>
    <row r="910" spans="1:8" x14ac:dyDescent="0.2">
      <c r="A910" s="11"/>
      <c r="B910" s="11">
        <v>0.89200000000000002</v>
      </c>
      <c r="C910">
        <f t="shared" si="41"/>
        <v>-89.534883720930225</v>
      </c>
      <c r="D910" s="8">
        <f t="shared" si="42"/>
        <v>-129.29347906297195</v>
      </c>
      <c r="E910" s="8">
        <f t="shared" si="42"/>
        <v>-122.18607619921022</v>
      </c>
      <c r="F910" s="8">
        <f t="shared" si="42"/>
        <v>-184.39206429376961</v>
      </c>
      <c r="G910" s="8">
        <f t="shared" si="42"/>
        <v>-168.78412858753921</v>
      </c>
      <c r="H910" s="8">
        <f t="shared" si="42"/>
        <v>-137.56825717507846</v>
      </c>
    </row>
    <row r="911" spans="1:8" x14ac:dyDescent="0.2">
      <c r="A911" s="11"/>
      <c r="B911" s="11">
        <v>0.89300000000000002</v>
      </c>
      <c r="C911">
        <f t="shared" si="41"/>
        <v>-89.593238246170102</v>
      </c>
      <c r="D911" s="8">
        <f t="shared" si="42"/>
        <v>-129.39059859332571</v>
      </c>
      <c r="E911" s="8">
        <f t="shared" si="42"/>
        <v>-122.26571451021573</v>
      </c>
      <c r="F911" s="8">
        <f t="shared" si="42"/>
        <v>-184.42501848804704</v>
      </c>
      <c r="G911" s="8">
        <f t="shared" si="42"/>
        <v>-168.85003697609412</v>
      </c>
      <c r="H911" s="8">
        <f t="shared" si="42"/>
        <v>-137.70007395218823</v>
      </c>
    </row>
    <row r="912" spans="1:8" x14ac:dyDescent="0.2">
      <c r="A912" s="11"/>
      <c r="B912" s="11">
        <v>0.89400000000000002</v>
      </c>
      <c r="C912">
        <f t="shared" si="41"/>
        <v>-89.651531151003169</v>
      </c>
      <c r="D912" s="8">
        <f t="shared" ref="D912:H943" si="43">$D$5+(D$6/(1+$B912))+(D$7/(1+$B912)^2)+(D$8/(1+$B912)^3)+(D$9/(1+$B912)^4)</f>
        <v>-129.48752274705487</v>
      </c>
      <c r="E912" s="8">
        <f t="shared" si="43"/>
        <v>-122.34520406990225</v>
      </c>
      <c r="F912" s="8">
        <f t="shared" si="43"/>
        <v>-184.45788575491616</v>
      </c>
      <c r="G912" s="8">
        <f t="shared" si="43"/>
        <v>-168.91577150983233</v>
      </c>
      <c r="H912" s="8">
        <f t="shared" si="43"/>
        <v>-137.83154301966465</v>
      </c>
    </row>
    <row r="913" spans="1:8" x14ac:dyDescent="0.2">
      <c r="A913" s="11"/>
      <c r="B913" s="11">
        <v>0.89500000000000002</v>
      </c>
      <c r="C913">
        <f t="shared" si="41"/>
        <v>-89.709762532981529</v>
      </c>
      <c r="D913" s="8">
        <f t="shared" si="43"/>
        <v>-129.58425203697047</v>
      </c>
      <c r="E913" s="8">
        <f t="shared" si="43"/>
        <v>-122.42454526360325</v>
      </c>
      <c r="F913" s="8">
        <f t="shared" si="43"/>
        <v>-184.49066636939099</v>
      </c>
      <c r="G913" s="8">
        <f t="shared" si="43"/>
        <v>-168.98133273878199</v>
      </c>
      <c r="H913" s="8">
        <f t="shared" si="43"/>
        <v>-137.962665477564</v>
      </c>
    </row>
    <row r="914" spans="1:8" x14ac:dyDescent="0.2">
      <c r="A914" s="11"/>
      <c r="B914" s="11">
        <v>0.89600000000000002</v>
      </c>
      <c r="C914">
        <f t="shared" si="41"/>
        <v>-89.767932489451468</v>
      </c>
      <c r="D914" s="8">
        <f t="shared" si="43"/>
        <v>-129.68078697423309</v>
      </c>
      <c r="E914" s="8">
        <f t="shared" si="43"/>
        <v>-122.50373847540274</v>
      </c>
      <c r="F914" s="8">
        <f t="shared" si="43"/>
        <v>-184.52336060547111</v>
      </c>
      <c r="G914" s="8">
        <f t="shared" si="43"/>
        <v>-169.04672121094222</v>
      </c>
      <c r="H914" s="8">
        <f t="shared" si="43"/>
        <v>-138.09344242188442</v>
      </c>
    </row>
    <row r="915" spans="1:8" x14ac:dyDescent="0.2">
      <c r="A915" s="11"/>
      <c r="B915" s="11">
        <v>0.89700000000000002</v>
      </c>
      <c r="C915">
        <f t="shared" si="41"/>
        <v>-89.826041117554027</v>
      </c>
      <c r="D915" s="8">
        <f t="shared" si="43"/>
        <v>-129.77712806835885</v>
      </c>
      <c r="E915" s="8">
        <f t="shared" si="43"/>
        <v>-122.5827840881404</v>
      </c>
      <c r="F915" s="8">
        <f t="shared" si="43"/>
        <v>-184.55596873614576</v>
      </c>
      <c r="G915" s="8">
        <f t="shared" si="43"/>
        <v>-169.11193747229152</v>
      </c>
      <c r="H915" s="8">
        <f t="shared" si="43"/>
        <v>-138.223874944583</v>
      </c>
    </row>
    <row r="916" spans="1:8" x14ac:dyDescent="0.2">
      <c r="A916" s="11"/>
      <c r="B916" s="11">
        <v>0.89800000000000002</v>
      </c>
      <c r="C916">
        <f t="shared" ref="C916:C979" si="44">$C$5+$C$6/(1+$B916)</f>
        <v>-89.88408851422551</v>
      </c>
      <c r="D916" s="8">
        <f t="shared" si="43"/>
        <v>-129.87327582722594</v>
      </c>
      <c r="E916" s="8">
        <f t="shared" si="43"/>
        <v>-122.66168248341613</v>
      </c>
      <c r="F916" s="8">
        <f t="shared" si="43"/>
        <v>-184.58849103339818</v>
      </c>
      <c r="G916" s="8">
        <f t="shared" si="43"/>
        <v>-169.17698206679634</v>
      </c>
      <c r="H916" s="8">
        <f t="shared" si="43"/>
        <v>-138.35396413359271</v>
      </c>
    </row>
    <row r="917" spans="1:8" x14ac:dyDescent="0.2">
      <c r="A917" s="11"/>
      <c r="B917" s="11">
        <v>0.89900000000000002</v>
      </c>
      <c r="C917">
        <f t="shared" si="44"/>
        <v>-89.942074776197998</v>
      </c>
      <c r="D917" s="8">
        <f t="shared" si="43"/>
        <v>-129.96923075708054</v>
      </c>
      <c r="E917" s="8">
        <f t="shared" si="43"/>
        <v>-122.74043404159488</v>
      </c>
      <c r="F917" s="8">
        <f t="shared" si="43"/>
        <v>-184.62092776820984</v>
      </c>
      <c r="G917" s="8">
        <f t="shared" si="43"/>
        <v>-169.24185553641971</v>
      </c>
      <c r="H917" s="8">
        <f t="shared" si="43"/>
        <v>-138.48371107283938</v>
      </c>
    </row>
    <row r="918" spans="1:8" x14ac:dyDescent="0.2">
      <c r="A918" s="11"/>
      <c r="B918" s="11">
        <v>0.9</v>
      </c>
      <c r="C918">
        <f t="shared" si="44"/>
        <v>-90</v>
      </c>
      <c r="D918" s="8">
        <f t="shared" si="43"/>
        <v>-130.06499336254325</v>
      </c>
      <c r="E918" s="8">
        <f t="shared" si="43"/>
        <v>-122.8190391418114</v>
      </c>
      <c r="F918" s="8">
        <f t="shared" si="43"/>
        <v>-184.65327921056468</v>
      </c>
      <c r="G918" s="8">
        <f t="shared" si="43"/>
        <v>-169.30655842112935</v>
      </c>
      <c r="H918" s="8">
        <f t="shared" si="43"/>
        <v>-138.61311684225873</v>
      </c>
    </row>
    <row r="919" spans="1:8" x14ac:dyDescent="0.2">
      <c r="A919" s="11"/>
      <c r="B919" s="11">
        <v>0.90100000000000002</v>
      </c>
      <c r="C919">
        <f t="shared" si="44"/>
        <v>-90.057864281956867</v>
      </c>
      <c r="D919" s="8">
        <f t="shared" si="43"/>
        <v>-130.1605641466152</v>
      </c>
      <c r="E919" s="8">
        <f t="shared" si="43"/>
        <v>-122.89749816197495</v>
      </c>
      <c r="F919" s="8">
        <f t="shared" si="43"/>
        <v>-184.6855456294532</v>
      </c>
      <c r="G919" s="8">
        <f t="shared" si="43"/>
        <v>-169.3710912589064</v>
      </c>
      <c r="H919" s="8">
        <f t="shared" si="43"/>
        <v>-138.74218251781284</v>
      </c>
    </row>
    <row r="920" spans="1:8" x14ac:dyDescent="0.2">
      <c r="A920" s="11"/>
      <c r="B920" s="11">
        <v>0.90200000000000002</v>
      </c>
      <c r="C920">
        <f t="shared" si="44"/>
        <v>-90.115667718191389</v>
      </c>
      <c r="D920" s="8">
        <f t="shared" si="43"/>
        <v>-130.25594361068397</v>
      </c>
      <c r="E920" s="8">
        <f t="shared" si="43"/>
        <v>-122.97581147877423</v>
      </c>
      <c r="F920" s="8">
        <f t="shared" si="43"/>
        <v>-184.71772729287676</v>
      </c>
      <c r="G920" s="8">
        <f t="shared" si="43"/>
        <v>-169.43545458575355</v>
      </c>
      <c r="H920" s="8">
        <f t="shared" si="43"/>
        <v>-138.87090917150709</v>
      </c>
    </row>
    <row r="921" spans="1:8" x14ac:dyDescent="0.2">
      <c r="A921" s="11"/>
      <c r="B921" s="11">
        <v>0.90300000000000002</v>
      </c>
      <c r="C921">
        <f t="shared" si="44"/>
        <v>-90.173410404624278</v>
      </c>
      <c r="D921" s="8">
        <f t="shared" si="43"/>
        <v>-130.35113225453011</v>
      </c>
      <c r="E921" s="8">
        <f t="shared" si="43"/>
        <v>-123.05397946768153</v>
      </c>
      <c r="F921" s="8">
        <f t="shared" si="43"/>
        <v>-184.74982446785165</v>
      </c>
      <c r="G921" s="8">
        <f t="shared" si="43"/>
        <v>-169.49964893570331</v>
      </c>
      <c r="H921" s="8">
        <f t="shared" si="43"/>
        <v>-138.99929787140661</v>
      </c>
    </row>
    <row r="922" spans="1:8" x14ac:dyDescent="0.2">
      <c r="A922" s="11"/>
      <c r="B922" s="11">
        <v>0.90400000000000003</v>
      </c>
      <c r="C922">
        <f t="shared" si="44"/>
        <v>-90.231092436974791</v>
      </c>
      <c r="D922" s="8">
        <f t="shared" si="43"/>
        <v>-130.44613057633276</v>
      </c>
      <c r="E922" s="8">
        <f t="shared" si="43"/>
        <v>-123.1320025029581</v>
      </c>
      <c r="F922" s="8">
        <f t="shared" si="43"/>
        <v>-184.78183742041327</v>
      </c>
      <c r="G922" s="8">
        <f t="shared" si="43"/>
        <v>-169.56367484082654</v>
      </c>
      <c r="H922" s="8">
        <f t="shared" si="43"/>
        <v>-139.1273496816531</v>
      </c>
    </row>
    <row r="923" spans="1:8" x14ac:dyDescent="0.2">
      <c r="A923" s="11"/>
      <c r="B923" s="11">
        <v>0.90500000000000003</v>
      </c>
      <c r="C923">
        <f t="shared" si="44"/>
        <v>-90.28871391076116</v>
      </c>
      <c r="D923" s="8">
        <f t="shared" si="43"/>
        <v>-130.54093907267611</v>
      </c>
      <c r="E923" s="8">
        <f t="shared" si="43"/>
        <v>-123.20988095765816</v>
      </c>
      <c r="F923" s="8">
        <f t="shared" si="43"/>
        <v>-184.81376641562022</v>
      </c>
      <c r="G923" s="8">
        <f t="shared" si="43"/>
        <v>-169.62753283124047</v>
      </c>
      <c r="H923" s="8">
        <f t="shared" si="43"/>
        <v>-139.25506566248094</v>
      </c>
    </row>
    <row r="924" spans="1:8" x14ac:dyDescent="0.2">
      <c r="A924" s="11"/>
      <c r="B924" s="11">
        <v>0.90600000000000003</v>
      </c>
      <c r="C924">
        <f t="shared" si="44"/>
        <v>-90.346274921301159</v>
      </c>
      <c r="D924" s="8">
        <f t="shared" si="43"/>
        <v>-130.63555823855512</v>
      </c>
      <c r="E924" s="8">
        <f t="shared" si="43"/>
        <v>-123.28761520363393</v>
      </c>
      <c r="F924" s="8">
        <f t="shared" si="43"/>
        <v>-184.84561171755846</v>
      </c>
      <c r="G924" s="8">
        <f t="shared" si="43"/>
        <v>-169.69122343511691</v>
      </c>
      <c r="H924" s="8">
        <f t="shared" si="43"/>
        <v>-139.38244687023379</v>
      </c>
    </row>
    <row r="925" spans="1:8" x14ac:dyDescent="0.2">
      <c r="A925" s="11"/>
      <c r="B925" s="11">
        <v>0.90700000000000003</v>
      </c>
      <c r="C925">
        <f t="shared" si="44"/>
        <v>-90.403775563712642</v>
      </c>
      <c r="D925" s="8">
        <f t="shared" si="43"/>
        <v>-130.72998856738164</v>
      </c>
      <c r="E925" s="8">
        <f t="shared" si="43"/>
        <v>-123.36520561154003</v>
      </c>
      <c r="F925" s="8">
        <f t="shared" si="43"/>
        <v>-184.87737358934521</v>
      </c>
      <c r="G925" s="8">
        <f t="shared" si="43"/>
        <v>-169.75474717869042</v>
      </c>
      <c r="H925" s="8">
        <f t="shared" si="43"/>
        <v>-139.50949435738085</v>
      </c>
    </row>
    <row r="926" spans="1:8" x14ac:dyDescent="0.2">
      <c r="A926" s="11"/>
      <c r="B926" s="11">
        <v>0.90800000000000003</v>
      </c>
      <c r="C926">
        <f t="shared" si="44"/>
        <v>-90.461215932914044</v>
      </c>
      <c r="D926" s="8">
        <f t="shared" si="43"/>
        <v>-130.82423055099051</v>
      </c>
      <c r="E926" s="8">
        <f t="shared" si="43"/>
        <v>-123.44265255083822</v>
      </c>
      <c r="F926" s="8">
        <f t="shared" si="43"/>
        <v>-184.90905229313327</v>
      </c>
      <c r="G926" s="8">
        <f t="shared" si="43"/>
        <v>-169.81810458626654</v>
      </c>
      <c r="H926" s="8">
        <f t="shared" si="43"/>
        <v>-139.63620917253309</v>
      </c>
    </row>
    <row r="927" spans="1:8" x14ac:dyDescent="0.2">
      <c r="A927" s="11"/>
      <c r="B927" s="11">
        <v>0.90900000000000003</v>
      </c>
      <c r="C927">
        <f t="shared" si="44"/>
        <v>-90.518596123624931</v>
      </c>
      <c r="D927" s="8">
        <f t="shared" si="43"/>
        <v>-130.91828467964527</v>
      </c>
      <c r="E927" s="8">
        <f t="shared" si="43"/>
        <v>-123.51995638980182</v>
      </c>
      <c r="F927" s="8">
        <f t="shared" si="43"/>
        <v>-184.94064809011488</v>
      </c>
      <c r="G927" s="8">
        <f t="shared" si="43"/>
        <v>-169.88129618022975</v>
      </c>
      <c r="H927" s="8">
        <f t="shared" si="43"/>
        <v>-139.76259236045951</v>
      </c>
    </row>
    <row r="928" spans="1:8" x14ac:dyDescent="0.2">
      <c r="A928" s="11"/>
      <c r="B928" s="11">
        <v>0.91</v>
      </c>
      <c r="C928">
        <f t="shared" si="44"/>
        <v>-90.575916230366502</v>
      </c>
      <c r="D928" s="8">
        <f t="shared" si="43"/>
        <v>-131.01215144204426</v>
      </c>
      <c r="E928" s="8">
        <f t="shared" si="43"/>
        <v>-123.59711749552025</v>
      </c>
      <c r="F928" s="8">
        <f t="shared" si="43"/>
        <v>-184.97216124052574</v>
      </c>
      <c r="G928" s="8">
        <f t="shared" si="43"/>
        <v>-169.94432248105147</v>
      </c>
      <c r="H928" s="8">
        <f t="shared" si="43"/>
        <v>-139.88864496210292</v>
      </c>
    </row>
    <row r="929" spans="1:8" x14ac:dyDescent="0.2">
      <c r="A929" s="11"/>
      <c r="B929" s="11">
        <v>0.91100000000000003</v>
      </c>
      <c r="C929">
        <f t="shared" si="44"/>
        <v>-90.633176347462069</v>
      </c>
      <c r="D929" s="8">
        <f t="shared" si="43"/>
        <v>-131.10583132532645</v>
      </c>
      <c r="E929" s="8">
        <f t="shared" si="43"/>
        <v>-123.67413623390381</v>
      </c>
      <c r="F929" s="8">
        <f t="shared" si="43"/>
        <v>-185.00359200364909</v>
      </c>
      <c r="G929" s="8">
        <f t="shared" si="43"/>
        <v>-170.00718400729818</v>
      </c>
      <c r="H929" s="8">
        <f t="shared" si="43"/>
        <v>-140.01436801459633</v>
      </c>
    </row>
    <row r="930" spans="1:8" x14ac:dyDescent="0.2">
      <c r="A930" s="11"/>
      <c r="B930" s="11">
        <v>0.91200000000000003</v>
      </c>
      <c r="C930">
        <f t="shared" si="44"/>
        <v>-90.690376569037653</v>
      </c>
      <c r="D930" s="8">
        <f t="shared" si="43"/>
        <v>-131.19932481507729</v>
      </c>
      <c r="E930" s="8">
        <f t="shared" si="43"/>
        <v>-123.75101296968766</v>
      </c>
      <c r="F930" s="8">
        <f t="shared" si="43"/>
        <v>-185.03494063781966</v>
      </c>
      <c r="G930" s="8">
        <f t="shared" si="43"/>
        <v>-170.06988127563929</v>
      </c>
      <c r="H930" s="8">
        <f t="shared" si="43"/>
        <v>-140.13976255127858</v>
      </c>
    </row>
    <row r="931" spans="1:8" x14ac:dyDescent="0.2">
      <c r="A931" s="11"/>
      <c r="B931" s="11">
        <v>0.91300000000000003</v>
      </c>
      <c r="C931">
        <f t="shared" si="44"/>
        <v>-90.747516989022486</v>
      </c>
      <c r="D931" s="8">
        <f t="shared" si="43"/>
        <v>-131.29263239533475</v>
      </c>
      <c r="E931" s="8">
        <f t="shared" si="43"/>
        <v>-123.827748066437</v>
      </c>
      <c r="F931" s="8">
        <f t="shared" si="43"/>
        <v>-185.0662074004276</v>
      </c>
      <c r="G931" s="8">
        <f t="shared" si="43"/>
        <v>-170.1324148008552</v>
      </c>
      <c r="H931" s="8">
        <f t="shared" si="43"/>
        <v>-140.26482960171043</v>
      </c>
    </row>
    <row r="932" spans="1:8" x14ac:dyDescent="0.2">
      <c r="A932" s="11"/>
      <c r="B932" s="11">
        <v>0.91400000000000003</v>
      </c>
      <c r="C932">
        <f t="shared" si="44"/>
        <v>-90.804597701149433</v>
      </c>
      <c r="D932" s="8">
        <f t="shared" si="43"/>
        <v>-131.38575454859475</v>
      </c>
      <c r="E932" s="8">
        <f t="shared" si="43"/>
        <v>-123.90434188655091</v>
      </c>
      <c r="F932" s="8">
        <f t="shared" si="43"/>
        <v>-185.09739254792251</v>
      </c>
      <c r="G932" s="8">
        <f t="shared" si="43"/>
        <v>-170.19478509584502</v>
      </c>
      <c r="H932" s="8">
        <f t="shared" si="43"/>
        <v>-140.38957019169007</v>
      </c>
    </row>
    <row r="933" spans="1:8" x14ac:dyDescent="0.2">
      <c r="A933" s="11"/>
      <c r="B933" s="11">
        <v>0.91500000000000004</v>
      </c>
      <c r="C933">
        <f t="shared" si="44"/>
        <v>-90.861618798955618</v>
      </c>
      <c r="D933" s="8">
        <f t="shared" si="43"/>
        <v>-131.47869175581732</v>
      </c>
      <c r="E933" s="8">
        <f t="shared" si="43"/>
        <v>-123.98079479126716</v>
      </c>
      <c r="F933" s="8">
        <f t="shared" si="43"/>
        <v>-185.12849633581726</v>
      </c>
      <c r="G933" s="8">
        <f t="shared" si="43"/>
        <v>-170.25699267163452</v>
      </c>
      <c r="H933" s="8">
        <f t="shared" si="43"/>
        <v>-140.51398534326901</v>
      </c>
    </row>
    <row r="934" spans="1:8" x14ac:dyDescent="0.2">
      <c r="A934" s="11"/>
      <c r="B934" s="11">
        <v>0.91600000000000004</v>
      </c>
      <c r="C934">
        <f t="shared" si="44"/>
        <v>-90.918580375782881</v>
      </c>
      <c r="D934" s="8">
        <f t="shared" si="43"/>
        <v>-131.57144449643221</v>
      </c>
      <c r="E934" s="8">
        <f t="shared" si="43"/>
        <v>-124.05710714066643</v>
      </c>
      <c r="F934" s="8">
        <f t="shared" si="43"/>
        <v>-185.15951901869195</v>
      </c>
      <c r="G934" s="8">
        <f t="shared" si="43"/>
        <v>-170.31903803738388</v>
      </c>
      <c r="H934" s="8">
        <f t="shared" si="43"/>
        <v>-140.63807607476778</v>
      </c>
    </row>
    <row r="935" spans="1:8" x14ac:dyDescent="0.2">
      <c r="A935" s="11"/>
      <c r="B935" s="11">
        <v>0.91700000000000004</v>
      </c>
      <c r="C935">
        <f t="shared" si="44"/>
        <v>-90.9754825247783</v>
      </c>
      <c r="D935" s="8">
        <f t="shared" si="43"/>
        <v>-131.66401324834479</v>
      </c>
      <c r="E935" s="8">
        <f t="shared" si="43"/>
        <v>-124.13327929367696</v>
      </c>
      <c r="F935" s="8">
        <f t="shared" si="43"/>
        <v>-185.19046085019784</v>
      </c>
      <c r="G935" s="8">
        <f t="shared" si="43"/>
        <v>-170.38092170039565</v>
      </c>
      <c r="H935" s="8">
        <f t="shared" si="43"/>
        <v>-140.76184340079129</v>
      </c>
    </row>
    <row r="936" spans="1:8" x14ac:dyDescent="0.2">
      <c r="A936" s="11"/>
      <c r="B936" s="11">
        <v>0.91800000000000004</v>
      </c>
      <c r="C936">
        <f t="shared" si="44"/>
        <v>-91.032325338894694</v>
      </c>
      <c r="D936" s="8">
        <f t="shared" si="43"/>
        <v>-131.75639848794145</v>
      </c>
      <c r="E936" s="8">
        <f t="shared" si="43"/>
        <v>-124.20931160807862</v>
      </c>
      <c r="F936" s="8">
        <f t="shared" si="43"/>
        <v>-185.2213220830611</v>
      </c>
      <c r="G936" s="8">
        <f t="shared" si="43"/>
        <v>-170.44264416612222</v>
      </c>
      <c r="H936" s="8">
        <f t="shared" si="43"/>
        <v>-140.88528833224444</v>
      </c>
    </row>
    <row r="937" spans="1:8" x14ac:dyDescent="0.2">
      <c r="A937" s="11"/>
      <c r="B937" s="11">
        <v>0.91900000000000004</v>
      </c>
      <c r="C937">
        <f t="shared" si="44"/>
        <v>-91.089108910891085</v>
      </c>
      <c r="D937" s="8">
        <f t="shared" si="43"/>
        <v>-131.84860069009557</v>
      </c>
      <c r="E937" s="8">
        <f t="shared" si="43"/>
        <v>-124.2852044405075</v>
      </c>
      <c r="F937" s="8">
        <f t="shared" si="43"/>
        <v>-185.25210296908685</v>
      </c>
      <c r="G937" s="8">
        <f t="shared" si="43"/>
        <v>-170.5042059381737</v>
      </c>
      <c r="H937" s="8">
        <f t="shared" si="43"/>
        <v>-141.0084118763474</v>
      </c>
    </row>
    <row r="938" spans="1:8" x14ac:dyDescent="0.2">
      <c r="A938" s="11"/>
      <c r="B938" s="11">
        <v>0.92</v>
      </c>
      <c r="C938">
        <f t="shared" si="44"/>
        <v>-91.145833333333329</v>
      </c>
      <c r="D938" s="8">
        <f t="shared" si="43"/>
        <v>-131.94062032817322</v>
      </c>
      <c r="E938" s="8">
        <f t="shared" si="43"/>
        <v>-124.36095814646026</v>
      </c>
      <c r="F938" s="8">
        <f t="shared" si="43"/>
        <v>-185.28280375916282</v>
      </c>
      <c r="G938" s="8">
        <f t="shared" si="43"/>
        <v>-170.56560751832561</v>
      </c>
      <c r="H938" s="8">
        <f t="shared" si="43"/>
        <v>-141.13121503665124</v>
      </c>
    </row>
    <row r="939" spans="1:8" x14ac:dyDescent="0.2">
      <c r="A939" s="11"/>
      <c r="B939" s="11">
        <v>0.92100000000000004</v>
      </c>
      <c r="C939">
        <f t="shared" si="44"/>
        <v>-91.202498698594482</v>
      </c>
      <c r="D939" s="8">
        <f t="shared" si="43"/>
        <v>-132.03245787403861</v>
      </c>
      <c r="E939" s="8">
        <f t="shared" si="43"/>
        <v>-124.43657308029834</v>
      </c>
      <c r="F939" s="8">
        <f t="shared" si="43"/>
        <v>-185.31342470326322</v>
      </c>
      <c r="G939" s="8">
        <f t="shared" si="43"/>
        <v>-170.62684940652645</v>
      </c>
      <c r="H939" s="8">
        <f t="shared" si="43"/>
        <v>-141.25369881305286</v>
      </c>
    </row>
    <row r="940" spans="1:8" x14ac:dyDescent="0.2">
      <c r="A940" s="11"/>
      <c r="B940" s="11">
        <v>0.92200000000000004</v>
      </c>
      <c r="C940">
        <f t="shared" si="44"/>
        <v>-91.259105098855372</v>
      </c>
      <c r="D940" s="8">
        <f t="shared" si="43"/>
        <v>-132.12411379805985</v>
      </c>
      <c r="E940" s="8">
        <f t="shared" si="43"/>
        <v>-124.51204959525231</v>
      </c>
      <c r="F940" s="8">
        <f t="shared" si="43"/>
        <v>-185.34396605045259</v>
      </c>
      <c r="G940" s="8">
        <f t="shared" si="43"/>
        <v>-170.68793210090521</v>
      </c>
      <c r="H940" s="8">
        <f t="shared" si="43"/>
        <v>-141.3758642018104</v>
      </c>
    </row>
    <row r="941" spans="1:8" x14ac:dyDescent="0.2">
      <c r="A941" s="11"/>
      <c r="B941" s="11">
        <v>0.92300000000000004</v>
      </c>
      <c r="C941">
        <f t="shared" si="44"/>
        <v>-91.315652626105049</v>
      </c>
      <c r="D941" s="8">
        <f t="shared" si="43"/>
        <v>-132.21558856911446</v>
      </c>
      <c r="E941" s="8">
        <f t="shared" si="43"/>
        <v>-124.58738804342624</v>
      </c>
      <c r="F941" s="8">
        <f t="shared" si="43"/>
        <v>-185.37442804888957</v>
      </c>
      <c r="G941" s="8">
        <f t="shared" si="43"/>
        <v>-170.74885609777914</v>
      </c>
      <c r="H941" s="8">
        <f t="shared" si="43"/>
        <v>-141.49771219555828</v>
      </c>
    </row>
    <row r="942" spans="1:8" x14ac:dyDescent="0.2">
      <c r="A942" s="11"/>
      <c r="B942" s="11">
        <v>0.92400000000000004</v>
      </c>
      <c r="C942">
        <f t="shared" si="44"/>
        <v>-91.372141372141371</v>
      </c>
      <c r="D942" s="8">
        <f t="shared" si="43"/>
        <v>-132.30688265459503</v>
      </c>
      <c r="E942" s="8">
        <f t="shared" si="43"/>
        <v>-124.66258877580184</v>
      </c>
      <c r="F942" s="8">
        <f t="shared" si="43"/>
        <v>-185.40481094583058</v>
      </c>
      <c r="G942" s="8">
        <f t="shared" si="43"/>
        <v>-170.80962189166115</v>
      </c>
      <c r="H942" s="8">
        <f t="shared" si="43"/>
        <v>-141.6192437833223</v>
      </c>
    </row>
    <row r="943" spans="1:8" x14ac:dyDescent="0.2">
      <c r="A943" s="11"/>
      <c r="B943" s="11">
        <v>0.92500000000000004</v>
      </c>
      <c r="C943">
        <f t="shared" si="44"/>
        <v>-91.428571428571431</v>
      </c>
      <c r="D943" s="8">
        <f t="shared" si="43"/>
        <v>-132.39799652041486</v>
      </c>
      <c r="E943" s="8">
        <f t="shared" si="43"/>
        <v>-124.73765214224281</v>
      </c>
      <c r="F943" s="8">
        <f t="shared" si="43"/>
        <v>-185.43511498763365</v>
      </c>
      <c r="G943" s="8">
        <f t="shared" si="43"/>
        <v>-170.87022997526731</v>
      </c>
      <c r="H943" s="8">
        <f t="shared" si="43"/>
        <v>-141.74045995053459</v>
      </c>
    </row>
    <row r="944" spans="1:8" x14ac:dyDescent="0.2">
      <c r="A944" s="11"/>
      <c r="B944" s="11">
        <v>0.92600000000000005</v>
      </c>
      <c r="C944">
        <f t="shared" si="44"/>
        <v>-91.48494288681205</v>
      </c>
      <c r="D944" s="8">
        <f t="shared" ref="D944:H975" si="45">$D$5+(D$6/(1+$B944))+(D$7/(1+$B944)^2)+(D$8/(1+$B944)^3)+(D$9/(1+$B944)^4)</f>
        <v>-132.48893063101312</v>
      </c>
      <c r="E944" s="8">
        <f t="shared" si="45"/>
        <v>-124.81257849149912</v>
      </c>
      <c r="F944" s="8">
        <f t="shared" si="45"/>
        <v>-185.46534041976213</v>
      </c>
      <c r="G944" s="8">
        <f t="shared" si="45"/>
        <v>-170.93068083952426</v>
      </c>
      <c r="H944" s="8">
        <f t="shared" si="45"/>
        <v>-141.86136167904854</v>
      </c>
    </row>
    <row r="945" spans="1:8" x14ac:dyDescent="0.2">
      <c r="A945" s="11"/>
      <c r="B945" s="11">
        <v>0.92700000000000005</v>
      </c>
      <c r="C945">
        <f t="shared" si="44"/>
        <v>-91.541255838090294</v>
      </c>
      <c r="D945" s="8">
        <f t="shared" si="45"/>
        <v>-132.57968544936077</v>
      </c>
      <c r="E945" s="8">
        <f t="shared" si="45"/>
        <v>-124.88736817121095</v>
      </c>
      <c r="F945" s="8">
        <f t="shared" si="45"/>
        <v>-185.49548748678842</v>
      </c>
      <c r="G945" s="8">
        <f t="shared" si="45"/>
        <v>-170.99097497357684</v>
      </c>
      <c r="H945" s="8">
        <f t="shared" si="45"/>
        <v>-141.98194994715365</v>
      </c>
    </row>
    <row r="946" spans="1:8" x14ac:dyDescent="0.2">
      <c r="A946" s="11"/>
      <c r="B946" s="11">
        <v>0.92800000000000005</v>
      </c>
      <c r="C946">
        <f t="shared" si="44"/>
        <v>-91.597510373443981</v>
      </c>
      <c r="D946" s="8">
        <f t="shared" si="45"/>
        <v>-132.6702614369658</v>
      </c>
      <c r="E946" s="8">
        <f t="shared" si="45"/>
        <v>-124.96202152791334</v>
      </c>
      <c r="F946" s="8">
        <f t="shared" si="45"/>
        <v>-185.52555643239756</v>
      </c>
      <c r="G946" s="8">
        <f t="shared" si="45"/>
        <v>-171.05111286479513</v>
      </c>
      <c r="H946" s="8">
        <f t="shared" si="45"/>
        <v>-142.10222572959029</v>
      </c>
    </row>
    <row r="947" spans="1:8" x14ac:dyDescent="0.2">
      <c r="A947" s="11"/>
      <c r="B947" s="11">
        <v>0.92900000000000005</v>
      </c>
      <c r="C947">
        <f t="shared" si="44"/>
        <v>-91.653706583722141</v>
      </c>
      <c r="D947" s="8">
        <f t="shared" si="45"/>
        <v>-132.7606590538789</v>
      </c>
      <c r="E947" s="8">
        <f t="shared" si="45"/>
        <v>-125.03653890703998</v>
      </c>
      <c r="F947" s="8">
        <f t="shared" si="45"/>
        <v>-185.55554749939111</v>
      </c>
      <c r="G947" s="8">
        <f t="shared" si="45"/>
        <v>-171.11109499878225</v>
      </c>
      <c r="H947" s="8">
        <f t="shared" si="45"/>
        <v>-142.22218999756447</v>
      </c>
    </row>
    <row r="948" spans="1:8" x14ac:dyDescent="0.2">
      <c r="A948" s="11"/>
      <c r="B948" s="11">
        <v>0.93</v>
      </c>
      <c r="C948">
        <f t="shared" si="44"/>
        <v>-91.709844559585505</v>
      </c>
      <c r="D948" s="8">
        <f t="shared" si="45"/>
        <v>-132.85087875869854</v>
      </c>
      <c r="E948" s="8">
        <f t="shared" si="45"/>
        <v>-125.11092065292752</v>
      </c>
      <c r="F948" s="8">
        <f t="shared" si="45"/>
        <v>-185.58546092969061</v>
      </c>
      <c r="G948" s="8">
        <f t="shared" si="45"/>
        <v>-171.1709218593812</v>
      </c>
      <c r="H948" s="8">
        <f t="shared" si="45"/>
        <v>-142.34184371876239</v>
      </c>
    </row>
    <row r="949" spans="1:8" x14ac:dyDescent="0.2">
      <c r="A949" s="11"/>
      <c r="B949" s="11">
        <v>0.93100000000000005</v>
      </c>
      <c r="C949">
        <f t="shared" si="44"/>
        <v>-91.765924391506999</v>
      </c>
      <c r="D949" s="8">
        <f t="shared" si="45"/>
        <v>-132.94092100857674</v>
      </c>
      <c r="E949" s="8">
        <f t="shared" si="45"/>
        <v>-125.18516710881974</v>
      </c>
      <c r="F949" s="8">
        <f t="shared" si="45"/>
        <v>-185.61529696434124</v>
      </c>
      <c r="G949" s="8">
        <f t="shared" si="45"/>
        <v>-171.23059392868248</v>
      </c>
      <c r="H949" s="8">
        <f t="shared" si="45"/>
        <v>-142.46118785736496</v>
      </c>
    </row>
    <row r="950" spans="1:8" x14ac:dyDescent="0.2">
      <c r="A950" s="11"/>
      <c r="B950" s="11">
        <v>0.93200000000000005</v>
      </c>
      <c r="C950">
        <f t="shared" si="44"/>
        <v>-91.821946169772247</v>
      </c>
      <c r="D950" s="8">
        <f t="shared" si="45"/>
        <v>-133.03078625922427</v>
      </c>
      <c r="E950" s="8">
        <f t="shared" si="45"/>
        <v>-125.2592786168716</v>
      </c>
      <c r="F950" s="8">
        <f t="shared" si="45"/>
        <v>-185.64505584351565</v>
      </c>
      <c r="G950" s="8">
        <f t="shared" si="45"/>
        <v>-171.2901116870313</v>
      </c>
      <c r="H950" s="8">
        <f t="shared" si="45"/>
        <v>-142.5802233740626</v>
      </c>
    </row>
    <row r="951" spans="1:8" x14ac:dyDescent="0.2">
      <c r="A951" s="11"/>
      <c r="B951" s="11">
        <v>0.93300000000000005</v>
      </c>
      <c r="C951">
        <f t="shared" si="44"/>
        <v>-91.877909984480084</v>
      </c>
      <c r="D951" s="8">
        <f t="shared" si="45"/>
        <v>-133.12047496491601</v>
      </c>
      <c r="E951" s="8">
        <f t="shared" si="45"/>
        <v>-125.33325551815345</v>
      </c>
      <c r="F951" s="8">
        <f t="shared" si="45"/>
        <v>-185.67473780651733</v>
      </c>
      <c r="G951" s="8">
        <f t="shared" si="45"/>
        <v>-171.34947561303466</v>
      </c>
      <c r="H951" s="8">
        <f t="shared" si="45"/>
        <v>-142.69895122606931</v>
      </c>
    </row>
    <row r="952" spans="1:8" x14ac:dyDescent="0.2">
      <c r="A952" s="11"/>
      <c r="B952" s="11">
        <v>0.93400000000000005</v>
      </c>
      <c r="C952">
        <f t="shared" si="44"/>
        <v>-91.93381592554293</v>
      </c>
      <c r="D952" s="8">
        <f t="shared" si="45"/>
        <v>-133.2099875784964</v>
      </c>
      <c r="E952" s="8">
        <f t="shared" si="45"/>
        <v>-125.40709815265504</v>
      </c>
      <c r="F952" s="8">
        <f t="shared" si="45"/>
        <v>-185.7043430917843</v>
      </c>
      <c r="G952" s="8">
        <f t="shared" si="45"/>
        <v>-171.40868618356862</v>
      </c>
      <c r="H952" s="8">
        <f t="shared" si="45"/>
        <v>-142.81737236713724</v>
      </c>
    </row>
    <row r="953" spans="1:8" x14ac:dyDescent="0.2">
      <c r="A953" s="11"/>
      <c r="B953" s="11">
        <v>0.93500000000000005</v>
      </c>
      <c r="C953">
        <f t="shared" si="44"/>
        <v>-91.989664082687341</v>
      </c>
      <c r="D953" s="8">
        <f t="shared" si="45"/>
        <v>-133.29932455138464</v>
      </c>
      <c r="E953" s="8">
        <f t="shared" si="45"/>
        <v>-125.48080685928954</v>
      </c>
      <c r="F953" s="8">
        <f t="shared" si="45"/>
        <v>-185.73387193689271</v>
      </c>
      <c r="G953" s="8">
        <f t="shared" si="45"/>
        <v>-171.46774387378545</v>
      </c>
      <c r="H953" s="8">
        <f t="shared" si="45"/>
        <v>-142.9354877475709</v>
      </c>
    </row>
    <row r="954" spans="1:8" x14ac:dyDescent="0.2">
      <c r="A954" s="11"/>
      <c r="B954" s="11">
        <v>0.93600000000000005</v>
      </c>
      <c r="C954">
        <f t="shared" si="44"/>
        <v>-92.045454545454547</v>
      </c>
      <c r="D954" s="8">
        <f t="shared" si="45"/>
        <v>-133.38848633357998</v>
      </c>
      <c r="E954" s="8">
        <f t="shared" si="45"/>
        <v>-125.55438197589773</v>
      </c>
      <c r="F954" s="8">
        <f t="shared" si="45"/>
        <v>-185.76332457856037</v>
      </c>
      <c r="G954" s="8">
        <f t="shared" si="45"/>
        <v>-171.52664915712074</v>
      </c>
      <c r="H954" s="8">
        <f t="shared" si="45"/>
        <v>-143.05329831424152</v>
      </c>
    </row>
    <row r="955" spans="1:8" x14ac:dyDescent="0.2">
      <c r="A955" s="11"/>
      <c r="B955" s="11">
        <v>0.93700000000000006</v>
      </c>
      <c r="C955">
        <f t="shared" si="44"/>
        <v>-92.101187403200825</v>
      </c>
      <c r="D955" s="8">
        <f t="shared" si="45"/>
        <v>-133.47747337366729</v>
      </c>
      <c r="E955" s="8">
        <f t="shared" si="45"/>
        <v>-125.62782383925195</v>
      </c>
      <c r="F955" s="8">
        <f t="shared" si="45"/>
        <v>-185.79270125265029</v>
      </c>
      <c r="G955" s="8">
        <f t="shared" si="45"/>
        <v>-171.58540250530058</v>
      </c>
      <c r="H955" s="8">
        <f t="shared" si="45"/>
        <v>-143.17080501060116</v>
      </c>
    </row>
    <row r="956" spans="1:8" x14ac:dyDescent="0.2">
      <c r="A956" s="11"/>
      <c r="B956" s="11">
        <v>0.93799999999999994</v>
      </c>
      <c r="C956">
        <f t="shared" si="44"/>
        <v>-92.156862745098039</v>
      </c>
      <c r="D956" s="8">
        <f t="shared" si="45"/>
        <v>-133.56628611882169</v>
      </c>
      <c r="E956" s="8">
        <f t="shared" si="45"/>
        <v>-125.70113278506014</v>
      </c>
      <c r="F956" s="8">
        <f t="shared" si="45"/>
        <v>-185.82200219417416</v>
      </c>
      <c r="G956" s="8">
        <f t="shared" si="45"/>
        <v>-171.64400438834832</v>
      </c>
      <c r="H956" s="8">
        <f t="shared" si="45"/>
        <v>-143.28800877669664</v>
      </c>
    </row>
    <row r="957" spans="1:8" x14ac:dyDescent="0.2">
      <c r="A957" s="11"/>
      <c r="B957" s="11">
        <v>0.93899999999999995</v>
      </c>
      <c r="C957">
        <f t="shared" si="44"/>
        <v>-92.212480660134091</v>
      </c>
      <c r="D957" s="8">
        <f t="shared" si="45"/>
        <v>-133.65492501481458</v>
      </c>
      <c r="E957" s="8">
        <f t="shared" si="45"/>
        <v>-125.77430914796992</v>
      </c>
      <c r="F957" s="8">
        <f t="shared" si="45"/>
        <v>-185.85122763729601</v>
      </c>
      <c r="G957" s="8">
        <f t="shared" si="45"/>
        <v>-171.70245527459198</v>
      </c>
      <c r="H957" s="8">
        <f t="shared" si="45"/>
        <v>-143.404910549184</v>
      </c>
    </row>
    <row r="958" spans="1:8" x14ac:dyDescent="0.2">
      <c r="A958" s="11"/>
      <c r="B958" s="11">
        <v>0.94</v>
      </c>
      <c r="C958">
        <f t="shared" si="44"/>
        <v>-92.268041237113394</v>
      </c>
      <c r="D958" s="8">
        <f t="shared" si="45"/>
        <v>-133.74339050601799</v>
      </c>
      <c r="E958" s="8">
        <f t="shared" si="45"/>
        <v>-125.84735326157231</v>
      </c>
      <c r="F958" s="8">
        <f t="shared" si="45"/>
        <v>-185.88037781533546</v>
      </c>
      <c r="G958" s="8">
        <f t="shared" si="45"/>
        <v>-171.76075563067093</v>
      </c>
      <c r="H958" s="8">
        <f t="shared" si="45"/>
        <v>-143.52151126134189</v>
      </c>
    </row>
    <row r="959" spans="1:8" x14ac:dyDescent="0.2">
      <c r="A959" s="11"/>
      <c r="B959" s="11">
        <v>0.94099999999999995</v>
      </c>
      <c r="C959">
        <f t="shared" si="44"/>
        <v>-92.323544564657382</v>
      </c>
      <c r="D959" s="8">
        <f t="shared" si="45"/>
        <v>-133.83168303541058</v>
      </c>
      <c r="E959" s="8">
        <f t="shared" si="45"/>
        <v>-125.92026545840599</v>
      </c>
      <c r="F959" s="8">
        <f t="shared" si="45"/>
        <v>-185.90945296077149</v>
      </c>
      <c r="G959" s="8">
        <f t="shared" si="45"/>
        <v>-171.81890592154301</v>
      </c>
      <c r="H959" s="8">
        <f t="shared" si="45"/>
        <v>-143.63781184308601</v>
      </c>
    </row>
    <row r="960" spans="1:8" x14ac:dyDescent="0.2">
      <c r="A960" s="11"/>
      <c r="B960" s="11">
        <v>0.94199999999999995</v>
      </c>
      <c r="C960">
        <f t="shared" si="44"/>
        <v>-92.378990731204937</v>
      </c>
      <c r="D960" s="8">
        <f t="shared" si="45"/>
        <v>-133.91980304458215</v>
      </c>
      <c r="E960" s="8">
        <f t="shared" si="45"/>
        <v>-125.99304606996125</v>
      </c>
      <c r="F960" s="8">
        <f t="shared" si="45"/>
        <v>-185.93845330524567</v>
      </c>
      <c r="G960" s="8">
        <f t="shared" si="45"/>
        <v>-171.87690661049137</v>
      </c>
      <c r="H960" s="8">
        <f t="shared" si="45"/>
        <v>-143.75381322098272</v>
      </c>
    </row>
    <row r="961" spans="1:8" x14ac:dyDescent="0.2">
      <c r="A961" s="11"/>
      <c r="B961" s="11">
        <v>0.94299999999999995</v>
      </c>
      <c r="C961">
        <f t="shared" si="44"/>
        <v>-92.434379825012869</v>
      </c>
      <c r="D961" s="8">
        <f t="shared" si="45"/>
        <v>-134.00775097373921</v>
      </c>
      <c r="E961" s="8">
        <f t="shared" si="45"/>
        <v>-126.06569542668362</v>
      </c>
      <c r="F961" s="8">
        <f t="shared" si="45"/>
        <v>-185.96737907956569</v>
      </c>
      <c r="G961" s="8">
        <f t="shared" si="45"/>
        <v>-171.93475815913141</v>
      </c>
      <c r="H961" s="8">
        <f t="shared" si="45"/>
        <v>-143.86951631826278</v>
      </c>
    </row>
    <row r="962" spans="1:8" x14ac:dyDescent="0.2">
      <c r="A962" s="11"/>
      <c r="B962" s="11">
        <v>0.94399999999999995</v>
      </c>
      <c r="C962">
        <f t="shared" si="44"/>
        <v>-92.489711934156375</v>
      </c>
      <c r="D962" s="8">
        <f t="shared" si="45"/>
        <v>-134.0955272617098</v>
      </c>
      <c r="E962" s="8">
        <f t="shared" si="45"/>
        <v>-126.13821385797807</v>
      </c>
      <c r="F962" s="8">
        <f t="shared" si="45"/>
        <v>-185.99623051370878</v>
      </c>
      <c r="G962" s="8">
        <f t="shared" si="45"/>
        <v>-171.99246102741756</v>
      </c>
      <c r="H962" s="8">
        <f t="shared" si="45"/>
        <v>-143.98492205483512</v>
      </c>
    </row>
    <row r="963" spans="1:8" x14ac:dyDescent="0.2">
      <c r="A963" s="11"/>
      <c r="B963" s="11">
        <v>0.94499999999999995</v>
      </c>
      <c r="C963">
        <f t="shared" si="44"/>
        <v>-92.54498714652955</v>
      </c>
      <c r="D963" s="8">
        <f t="shared" si="45"/>
        <v>-134.18313234594882</v>
      </c>
      <c r="E963" s="8">
        <f t="shared" si="45"/>
        <v>-126.2106016922128</v>
      </c>
      <c r="F963" s="8">
        <f t="shared" si="45"/>
        <v>-186.02500783682513</v>
      </c>
      <c r="G963" s="8">
        <f t="shared" si="45"/>
        <v>-172.05001567365028</v>
      </c>
      <c r="H963" s="8">
        <f t="shared" si="45"/>
        <v>-144.10003134730053</v>
      </c>
    </row>
    <row r="964" spans="1:8" x14ac:dyDescent="0.2">
      <c r="A964" s="11"/>
      <c r="B964" s="11">
        <v>0.94599999999999995</v>
      </c>
      <c r="C964">
        <f t="shared" si="44"/>
        <v>-92.600205549845839</v>
      </c>
      <c r="D964" s="8">
        <f t="shared" si="45"/>
        <v>-134.27056666254293</v>
      </c>
      <c r="E964" s="8">
        <f t="shared" si="45"/>
        <v>-126.28285925672317</v>
      </c>
      <c r="F964" s="8">
        <f t="shared" si="45"/>
        <v>-186.05371127724132</v>
      </c>
      <c r="G964" s="8">
        <f t="shared" si="45"/>
        <v>-172.10742255448264</v>
      </c>
      <c r="H964" s="8">
        <f t="shared" si="45"/>
        <v>-144.21484510896525</v>
      </c>
    </row>
    <row r="965" spans="1:8" x14ac:dyDescent="0.2">
      <c r="A965" s="11"/>
      <c r="B965" s="11">
        <v>0.94699999999999995</v>
      </c>
      <c r="C965">
        <f t="shared" si="44"/>
        <v>-92.655367231638422</v>
      </c>
      <c r="D965" s="8">
        <f t="shared" si="45"/>
        <v>-134.35783064621575</v>
      </c>
      <c r="E965" s="8">
        <f t="shared" si="45"/>
        <v>-126.35498687781551</v>
      </c>
      <c r="F965" s="8">
        <f t="shared" si="45"/>
        <v>-186.0823410624636</v>
      </c>
      <c r="G965" s="8">
        <f t="shared" si="45"/>
        <v>-172.1646821249272</v>
      </c>
      <c r="H965" s="8">
        <f t="shared" si="45"/>
        <v>-144.32936424985439</v>
      </c>
    </row>
    <row r="966" spans="1:8" x14ac:dyDescent="0.2">
      <c r="A966" s="11"/>
      <c r="B966" s="11">
        <v>0.94799999999999995</v>
      </c>
      <c r="C966">
        <f t="shared" si="44"/>
        <v>-92.710472279260784</v>
      </c>
      <c r="D966" s="8">
        <f t="shared" si="45"/>
        <v>-134.4449247303327</v>
      </c>
      <c r="E966" s="8">
        <f t="shared" si="45"/>
        <v>-126.42698488077099</v>
      </c>
      <c r="F966" s="8">
        <f t="shared" si="45"/>
        <v>-186.11089741918136</v>
      </c>
      <c r="G966" s="8">
        <f t="shared" si="45"/>
        <v>-172.22179483836271</v>
      </c>
      <c r="H966" s="8">
        <f t="shared" si="45"/>
        <v>-144.44358967672542</v>
      </c>
    </row>
    <row r="967" spans="1:8" x14ac:dyDescent="0.2">
      <c r="A967" s="11"/>
      <c r="B967" s="11">
        <v>0.94899999999999995</v>
      </c>
      <c r="C967">
        <f t="shared" si="44"/>
        <v>-92.765520779887112</v>
      </c>
      <c r="D967" s="8">
        <f t="shared" si="45"/>
        <v>-134.5318493469062</v>
      </c>
      <c r="E967" s="8">
        <f t="shared" si="45"/>
        <v>-126.49885358984943</v>
      </c>
      <c r="F967" s="8">
        <f t="shared" si="45"/>
        <v>-186.13938057327044</v>
      </c>
      <c r="G967" s="8">
        <f t="shared" si="45"/>
        <v>-172.27876114654092</v>
      </c>
      <c r="H967" s="8">
        <f t="shared" si="45"/>
        <v>-144.55752229308183</v>
      </c>
    </row>
    <row r="968" spans="1:8" x14ac:dyDescent="0.2">
      <c r="A968" s="11"/>
      <c r="B968" s="11">
        <v>0.95</v>
      </c>
      <c r="C968">
        <f t="shared" si="44"/>
        <v>-92.820512820512818</v>
      </c>
      <c r="D968" s="8">
        <f t="shared" si="45"/>
        <v>-134.61860492660068</v>
      </c>
      <c r="E968" s="8">
        <f t="shared" si="45"/>
        <v>-126.57059332829319</v>
      </c>
      <c r="F968" s="8">
        <f t="shared" si="45"/>
        <v>-186.16779074979652</v>
      </c>
      <c r="G968" s="8">
        <f t="shared" si="45"/>
        <v>-172.33558149959302</v>
      </c>
      <c r="H968" s="8">
        <f t="shared" si="45"/>
        <v>-144.67116299918604</v>
      </c>
    </row>
    <row r="969" spans="1:8" x14ac:dyDescent="0.2">
      <c r="A969" s="11"/>
      <c r="B969" s="11">
        <v>0.95099999999999996</v>
      </c>
      <c r="C969">
        <f t="shared" si="44"/>
        <v>-92.875448487954898</v>
      </c>
      <c r="D969" s="8">
        <f t="shared" si="45"/>
        <v>-134.70519189873721</v>
      </c>
      <c r="E969" s="8">
        <f t="shared" si="45"/>
        <v>-126.64220441833093</v>
      </c>
      <c r="F969" s="8">
        <f t="shared" si="45"/>
        <v>-186.19612817301825</v>
      </c>
      <c r="G969" s="8">
        <f t="shared" si="45"/>
        <v>-172.39225634603653</v>
      </c>
      <c r="H969" s="8">
        <f t="shared" si="45"/>
        <v>-144.78451269207304</v>
      </c>
    </row>
    <row r="970" spans="1:8" x14ac:dyDescent="0.2">
      <c r="A970" s="11"/>
      <c r="B970" s="11">
        <v>0.95199999999999996</v>
      </c>
      <c r="C970">
        <f t="shared" si="44"/>
        <v>-92.930327868852459</v>
      </c>
      <c r="D970" s="8">
        <f t="shared" si="45"/>
        <v>-134.79161069129893</v>
      </c>
      <c r="E970" s="8">
        <f t="shared" si="45"/>
        <v>-126.71368718118134</v>
      </c>
      <c r="F970" s="8">
        <f t="shared" si="45"/>
        <v>-186.22439306639083</v>
      </c>
      <c r="G970" s="8">
        <f t="shared" si="45"/>
        <v>-172.44878613278166</v>
      </c>
      <c r="H970" s="8">
        <f t="shared" si="45"/>
        <v>-144.89757226556335</v>
      </c>
    </row>
    <row r="971" spans="1:8" x14ac:dyDescent="0.2">
      <c r="A971" s="11"/>
      <c r="B971" s="11">
        <v>0.95299999999999996</v>
      </c>
      <c r="C971">
        <f t="shared" si="44"/>
        <v>-92.985151049667166</v>
      </c>
      <c r="D971" s="8">
        <f t="shared" si="45"/>
        <v>-134.87786173093551</v>
      </c>
      <c r="E971" s="8">
        <f t="shared" si="45"/>
        <v>-126.78504193705693</v>
      </c>
      <c r="F971" s="8">
        <f t="shared" si="45"/>
        <v>-186.25258565256908</v>
      </c>
      <c r="G971" s="8">
        <f t="shared" si="45"/>
        <v>-172.50517130513819</v>
      </c>
      <c r="H971" s="8">
        <f t="shared" si="45"/>
        <v>-145.01034261027638</v>
      </c>
    </row>
    <row r="972" spans="1:8" x14ac:dyDescent="0.2">
      <c r="A972" s="11"/>
      <c r="B972" s="11">
        <v>0.95399999999999996</v>
      </c>
      <c r="C972">
        <f t="shared" si="44"/>
        <v>-93.039918116683722</v>
      </c>
      <c r="D972" s="8">
        <f t="shared" si="45"/>
        <v>-134.96394544296848</v>
      </c>
      <c r="E972" s="8">
        <f t="shared" si="45"/>
        <v>-126.8562690051678</v>
      </c>
      <c r="F972" s="8">
        <f t="shared" si="45"/>
        <v>-186.28070615341085</v>
      </c>
      <c r="G972" s="8">
        <f t="shared" si="45"/>
        <v>-172.56141230682172</v>
      </c>
      <c r="H972" s="8">
        <f t="shared" si="45"/>
        <v>-145.12282461364342</v>
      </c>
    </row>
    <row r="973" spans="1:8" x14ac:dyDescent="0.2">
      <c r="A973" s="11"/>
      <c r="B973" s="11">
        <v>0.95499999999999996</v>
      </c>
      <c r="C973">
        <f t="shared" si="44"/>
        <v>-93.094629156010228</v>
      </c>
      <c r="D973" s="8">
        <f t="shared" si="45"/>
        <v>-135.04986225139572</v>
      </c>
      <c r="E973" s="8">
        <f t="shared" si="45"/>
        <v>-126.92736870372549</v>
      </c>
      <c r="F973" s="8">
        <f t="shared" si="45"/>
        <v>-186.30875478998018</v>
      </c>
      <c r="G973" s="8">
        <f t="shared" si="45"/>
        <v>-172.61750957996034</v>
      </c>
      <c r="H973" s="8">
        <f t="shared" si="45"/>
        <v>-145.23501915992068</v>
      </c>
    </row>
    <row r="974" spans="1:8" x14ac:dyDescent="0.2">
      <c r="A974" s="11"/>
      <c r="B974" s="11">
        <v>0.95599999999999996</v>
      </c>
      <c r="C974">
        <f t="shared" si="44"/>
        <v>-93.149284253578728</v>
      </c>
      <c r="D974" s="8">
        <f t="shared" si="45"/>
        <v>-135.13561257889671</v>
      </c>
      <c r="E974" s="8">
        <f t="shared" si="45"/>
        <v>-126.99834134994633</v>
      </c>
      <c r="F974" s="8">
        <f t="shared" si="45"/>
        <v>-186.33673178255057</v>
      </c>
      <c r="G974" s="8">
        <f t="shared" si="45"/>
        <v>-172.67346356510114</v>
      </c>
      <c r="H974" s="8">
        <f t="shared" si="45"/>
        <v>-145.34692713020226</v>
      </c>
    </row>
    <row r="975" spans="1:8" x14ac:dyDescent="0.2">
      <c r="A975" s="11"/>
      <c r="B975" s="11">
        <v>0.95699999999999996</v>
      </c>
      <c r="C975">
        <f t="shared" si="44"/>
        <v>-93.203883495145618</v>
      </c>
      <c r="D975" s="8">
        <f t="shared" si="45"/>
        <v>-135.22119684683693</v>
      </c>
      <c r="E975" s="8">
        <f t="shared" si="45"/>
        <v>-127.06918726005571</v>
      </c>
      <c r="F975" s="8">
        <f t="shared" si="45"/>
        <v>-186.36463735060829</v>
      </c>
      <c r="G975" s="8">
        <f t="shared" si="45"/>
        <v>-172.72927470121655</v>
      </c>
      <c r="H975" s="8">
        <f t="shared" si="45"/>
        <v>-145.45854940243311</v>
      </c>
    </row>
    <row r="976" spans="1:8" x14ac:dyDescent="0.2">
      <c r="A976" s="11"/>
      <c r="B976" s="11">
        <v>0.95799999999999996</v>
      </c>
      <c r="C976">
        <f t="shared" si="44"/>
        <v>-93.258426966292134</v>
      </c>
      <c r="D976" s="8">
        <f t="shared" ref="D976:H1018" si="46">$D$5+(D$6/(1+$B976))+(D$7/(1+$B976)^2)+(D$8/(1+$B976)^3)+(D$9/(1+$B976)^4)</f>
        <v>-135.30661547527313</v>
      </c>
      <c r="E976" s="8">
        <f t="shared" si="46"/>
        <v>-127.13990674929126</v>
      </c>
      <c r="F976" s="8">
        <f t="shared" si="46"/>
        <v>-186.3924717128555</v>
      </c>
      <c r="G976" s="8">
        <f t="shared" si="46"/>
        <v>-172.78494342571096</v>
      </c>
      <c r="H976" s="8">
        <f t="shared" si="46"/>
        <v>-145.56988685142193</v>
      </c>
    </row>
    <row r="977" spans="1:8" x14ac:dyDescent="0.2">
      <c r="A977" s="11"/>
      <c r="B977" s="11">
        <v>0.95899999999999996</v>
      </c>
      <c r="C977">
        <f t="shared" si="44"/>
        <v>-93.312914752424717</v>
      </c>
      <c r="D977" s="8">
        <f t="shared" si="46"/>
        <v>-135.39186888295791</v>
      </c>
      <c r="E977" s="8">
        <f t="shared" si="46"/>
        <v>-127.21050013190666</v>
      </c>
      <c r="F977" s="8">
        <f t="shared" si="46"/>
        <v>-186.42023508721346</v>
      </c>
      <c r="G977" s="8">
        <f t="shared" si="46"/>
        <v>-172.84047017442691</v>
      </c>
      <c r="H977" s="8">
        <f t="shared" si="46"/>
        <v>-145.6809403488538</v>
      </c>
    </row>
    <row r="978" spans="1:8" x14ac:dyDescent="0.2">
      <c r="A978" s="11"/>
      <c r="B978" s="11">
        <v>0.96</v>
      </c>
      <c r="C978">
        <f t="shared" si="44"/>
        <v>-93.367346938775512</v>
      </c>
      <c r="D978" s="8">
        <f t="shared" si="46"/>
        <v>-135.47695748734432</v>
      </c>
      <c r="E978" s="8">
        <f t="shared" si="46"/>
        <v>-127.28096772117543</v>
      </c>
      <c r="F978" s="8">
        <f t="shared" si="46"/>
        <v>-186.44792769082576</v>
      </c>
      <c r="G978" s="8">
        <f t="shared" si="46"/>
        <v>-172.8958553816515</v>
      </c>
      <c r="H978" s="8">
        <f t="shared" si="46"/>
        <v>-145.791710763303</v>
      </c>
    </row>
    <row r="979" spans="1:8" x14ac:dyDescent="0.2">
      <c r="A979" s="11"/>
      <c r="B979" s="11">
        <v>0.96099999999999997</v>
      </c>
      <c r="C979">
        <f t="shared" si="44"/>
        <v>-93.42172361040285</v>
      </c>
      <c r="D979" s="8">
        <f t="shared" si="46"/>
        <v>-135.56188170459103</v>
      </c>
      <c r="E979" s="8">
        <f t="shared" si="46"/>
        <v>-127.35130982939457</v>
      </c>
      <c r="F979" s="8">
        <f t="shared" si="46"/>
        <v>-186.47554974006147</v>
      </c>
      <c r="G979" s="8">
        <f t="shared" si="46"/>
        <v>-172.95109948012293</v>
      </c>
      <c r="H979" s="8">
        <f t="shared" si="46"/>
        <v>-145.90219896024584</v>
      </c>
    </row>
    <row r="980" spans="1:8" x14ac:dyDescent="0.2">
      <c r="A980" s="11"/>
      <c r="B980" s="11">
        <v>0.96199999999999997</v>
      </c>
      <c r="C980">
        <f t="shared" ref="C980:C1018" si="47">$C$5+$C$6/(1+$B980)</f>
        <v>-93.476044852191635</v>
      </c>
      <c r="D980" s="8">
        <f t="shared" si="46"/>
        <v>-135.64664194956683</v>
      </c>
      <c r="E980" s="8">
        <f t="shared" si="46"/>
        <v>-127.42152676788785</v>
      </c>
      <c r="F980" s="8">
        <f t="shared" si="46"/>
        <v>-186.50310145051827</v>
      </c>
      <c r="G980" s="8">
        <f t="shared" si="46"/>
        <v>-173.00620290103654</v>
      </c>
      <c r="H980" s="8">
        <f t="shared" si="46"/>
        <v>-146.01240580207312</v>
      </c>
    </row>
    <row r="981" spans="1:8" x14ac:dyDescent="0.2">
      <c r="A981" s="11"/>
      <c r="B981" s="11">
        <v>0.96299999999999997</v>
      </c>
      <c r="C981">
        <f t="shared" si="47"/>
        <v>-93.530310748853793</v>
      </c>
      <c r="D981" s="8">
        <f t="shared" si="46"/>
        <v>-135.73123863585525</v>
      </c>
      <c r="E981" s="8">
        <f t="shared" si="46"/>
        <v>-127.49161884700989</v>
      </c>
      <c r="F981" s="8">
        <f t="shared" si="46"/>
        <v>-186.53058303702565</v>
      </c>
      <c r="G981" s="8">
        <f t="shared" si="46"/>
        <v>-173.0611660740513</v>
      </c>
      <c r="H981" s="8">
        <f t="shared" si="46"/>
        <v>-146.1223321481026</v>
      </c>
    </row>
    <row r="982" spans="1:8" x14ac:dyDescent="0.2">
      <c r="A982" s="11"/>
      <c r="B982" s="11">
        <v>0.96399999999999997</v>
      </c>
      <c r="C982">
        <f t="shared" si="47"/>
        <v>-93.584521384928721</v>
      </c>
      <c r="D982" s="8">
        <f t="shared" si="46"/>
        <v>-135.81567217575952</v>
      </c>
      <c r="E982" s="8">
        <f t="shared" si="46"/>
        <v>-127.56158637614945</v>
      </c>
      <c r="F982" s="8">
        <f t="shared" si="46"/>
        <v>-186.55799471364796</v>
      </c>
      <c r="G982" s="8">
        <f t="shared" si="46"/>
        <v>-173.11598942729589</v>
      </c>
      <c r="H982" s="8">
        <f t="shared" si="46"/>
        <v>-146.23197885459177</v>
      </c>
    </row>
    <row r="983" spans="1:8" x14ac:dyDescent="0.2">
      <c r="A983" s="11"/>
      <c r="B983" s="11">
        <v>0.96499999999999997</v>
      </c>
      <c r="C983">
        <f t="shared" si="47"/>
        <v>-93.638676844783703</v>
      </c>
      <c r="D983" s="8">
        <f t="shared" si="46"/>
        <v>-135.89994298030706</v>
      </c>
      <c r="E983" s="8">
        <f t="shared" si="46"/>
        <v>-127.63142966373299</v>
      </c>
      <c r="F983" s="8">
        <f t="shared" si="46"/>
        <v>-186.58533669368754</v>
      </c>
      <c r="G983" s="8">
        <f t="shared" si="46"/>
        <v>-173.17067338737507</v>
      </c>
      <c r="H983" s="8">
        <f t="shared" si="46"/>
        <v>-146.34134677475015</v>
      </c>
    </row>
    <row r="984" spans="1:8" x14ac:dyDescent="0.2">
      <c r="A984" s="11"/>
      <c r="B984" s="11">
        <v>0.96599999999999997</v>
      </c>
      <c r="C984">
        <f t="shared" si="47"/>
        <v>-93.692777212614445</v>
      </c>
      <c r="D984" s="8">
        <f t="shared" si="46"/>
        <v>-135.98405145925426</v>
      </c>
      <c r="E984" s="8">
        <f t="shared" si="46"/>
        <v>-127.70114901722846</v>
      </c>
      <c r="F984" s="8">
        <f t="shared" si="46"/>
        <v>-186.61260918968793</v>
      </c>
      <c r="G984" s="8">
        <f t="shared" si="46"/>
        <v>-173.22521837937583</v>
      </c>
      <c r="H984" s="8">
        <f t="shared" si="46"/>
        <v>-146.45043675875169</v>
      </c>
    </row>
    <row r="985" spans="1:8" x14ac:dyDescent="0.2">
      <c r="A985" s="11"/>
      <c r="B985" s="11">
        <v>0.96699999999999997</v>
      </c>
      <c r="C985">
        <f t="shared" si="47"/>
        <v>-93.746822572445353</v>
      </c>
      <c r="D985" s="8">
        <f t="shared" si="46"/>
        <v>-136.06799802109097</v>
      </c>
      <c r="E985" s="8">
        <f t="shared" si="46"/>
        <v>-127.77074474314871</v>
      </c>
      <c r="F985" s="8">
        <f t="shared" si="46"/>
        <v>-186.63981241343677</v>
      </c>
      <c r="G985" s="8">
        <f t="shared" si="46"/>
        <v>-173.27962482687354</v>
      </c>
      <c r="H985" s="8">
        <f t="shared" si="46"/>
        <v>-146.55924965374709</v>
      </c>
    </row>
    <row r="986" spans="1:8" x14ac:dyDescent="0.2">
      <c r="A986" s="11"/>
      <c r="B986" s="11">
        <v>0.96799999999999997</v>
      </c>
      <c r="C986">
        <f t="shared" si="47"/>
        <v>-93.800813008130078</v>
      </c>
      <c r="D986" s="8">
        <f t="shared" si="46"/>
        <v>-136.15178307304532</v>
      </c>
      <c r="E986" s="8">
        <f t="shared" si="46"/>
        <v>-127.84021714705491</v>
      </c>
      <c r="F986" s="8">
        <f t="shared" si="46"/>
        <v>-186.66694657596901</v>
      </c>
      <c r="G986" s="8">
        <f t="shared" si="46"/>
        <v>-173.33389315193804</v>
      </c>
      <c r="H986" s="8">
        <f t="shared" si="46"/>
        <v>-146.66778630387608</v>
      </c>
    </row>
    <row r="987" spans="1:8" x14ac:dyDescent="0.2">
      <c r="A987" s="11"/>
      <c r="B987" s="11">
        <v>0.96899999999999997</v>
      </c>
      <c r="C987">
        <f t="shared" si="47"/>
        <v>-93.85474860335195</v>
      </c>
      <c r="D987" s="8">
        <f t="shared" si="46"/>
        <v>-136.23540702108815</v>
      </c>
      <c r="E987" s="8">
        <f t="shared" si="46"/>
        <v>-127.90956653356025</v>
      </c>
      <c r="F987" s="8">
        <f t="shared" si="46"/>
        <v>-186.69401188756993</v>
      </c>
      <c r="G987" s="8">
        <f t="shared" si="46"/>
        <v>-173.38802377513989</v>
      </c>
      <c r="H987" s="8">
        <f t="shared" si="46"/>
        <v>-146.77604755027977</v>
      </c>
    </row>
    <row r="988" spans="1:8" x14ac:dyDescent="0.2">
      <c r="A988" s="11"/>
      <c r="B988" s="11">
        <v>0.97</v>
      </c>
      <c r="C988">
        <f t="shared" si="47"/>
        <v>-93.90862944162437</v>
      </c>
      <c r="D988" s="8">
        <f t="shared" si="46"/>
        <v>-136.31887026993769</v>
      </c>
      <c r="E988" s="8">
        <f t="shared" si="46"/>
        <v>-127.97879320633332</v>
      </c>
      <c r="F988" s="8">
        <f t="shared" si="46"/>
        <v>-186.72100855777816</v>
      </c>
      <c r="G988" s="8">
        <f t="shared" si="46"/>
        <v>-173.44201711555633</v>
      </c>
      <c r="H988" s="8">
        <f t="shared" si="46"/>
        <v>-146.88403423111265</v>
      </c>
    </row>
    <row r="989" spans="1:8" x14ac:dyDescent="0.2">
      <c r="A989" s="11"/>
      <c r="B989" s="11">
        <v>0.97099999999999997</v>
      </c>
      <c r="C989">
        <f t="shared" si="47"/>
        <v>-93.962455606291229</v>
      </c>
      <c r="D989" s="8">
        <f t="shared" si="46"/>
        <v>-136.40217322306412</v>
      </c>
      <c r="E989" s="8">
        <f t="shared" si="46"/>
        <v>-128.04789746810178</v>
      </c>
      <c r="F989" s="8">
        <f t="shared" si="46"/>
        <v>-186.74793679538868</v>
      </c>
      <c r="G989" s="8">
        <f t="shared" si="46"/>
        <v>-173.49587359077739</v>
      </c>
      <c r="H989" s="8">
        <f t="shared" si="46"/>
        <v>-146.99174718155479</v>
      </c>
    </row>
    <row r="990" spans="1:8" x14ac:dyDescent="0.2">
      <c r="A990" s="11"/>
      <c r="B990" s="11">
        <v>0.97199999999999998</v>
      </c>
      <c r="C990">
        <f t="shared" si="47"/>
        <v>-94.01622718052738</v>
      </c>
      <c r="D990" s="8">
        <f t="shared" si="46"/>
        <v>-136.48531628269401</v>
      </c>
      <c r="E990" s="8">
        <f t="shared" si="46"/>
        <v>-128.11687962065548</v>
      </c>
      <c r="F990" s="8">
        <f t="shared" si="46"/>
        <v>-186.77479680845596</v>
      </c>
      <c r="G990" s="8">
        <f t="shared" si="46"/>
        <v>-173.54959361691192</v>
      </c>
      <c r="H990" s="8">
        <f t="shared" si="46"/>
        <v>-147.09918723382384</v>
      </c>
    </row>
    <row r="991" spans="1:8" x14ac:dyDescent="0.2">
      <c r="A991" s="11"/>
      <c r="B991" s="11">
        <v>0.97299999999999998</v>
      </c>
      <c r="C991">
        <f t="shared" si="47"/>
        <v>-94.069944247339066</v>
      </c>
      <c r="D991" s="8">
        <f t="shared" si="46"/>
        <v>-136.56829984981511</v>
      </c>
      <c r="E991" s="8">
        <f t="shared" si="46"/>
        <v>-128.18573996485037</v>
      </c>
      <c r="F991" s="8">
        <f t="shared" si="46"/>
        <v>-186.80158880429678</v>
      </c>
      <c r="G991" s="8">
        <f t="shared" si="46"/>
        <v>-173.6031776085936</v>
      </c>
      <c r="H991" s="8">
        <f t="shared" si="46"/>
        <v>-147.20635521718719</v>
      </c>
    </row>
    <row r="992" spans="1:8" x14ac:dyDescent="0.2">
      <c r="A992" s="11"/>
      <c r="B992" s="11">
        <v>0.97399999999999998</v>
      </c>
      <c r="C992">
        <f t="shared" si="47"/>
        <v>-94.123606889564329</v>
      </c>
      <c r="D992" s="8">
        <f t="shared" si="46"/>
        <v>-136.65112432418047</v>
      </c>
      <c r="E992" s="8">
        <f t="shared" si="46"/>
        <v>-128.25447880061151</v>
      </c>
      <c r="F992" s="8">
        <f t="shared" si="46"/>
        <v>-186.82831298949341</v>
      </c>
      <c r="G992" s="8">
        <f t="shared" si="46"/>
        <v>-173.65662597898682</v>
      </c>
      <c r="H992" s="8">
        <f t="shared" si="46"/>
        <v>-147.31325195797365</v>
      </c>
    </row>
    <row r="993" spans="1:8" x14ac:dyDescent="0.2">
      <c r="A993" s="11"/>
      <c r="B993" s="11">
        <v>0.97499999999999998</v>
      </c>
      <c r="C993">
        <f t="shared" si="47"/>
        <v>-94.177215189873422</v>
      </c>
      <c r="D993" s="8">
        <f t="shared" si="46"/>
        <v>-136.73379010431327</v>
      </c>
      <c r="E993" s="8">
        <f t="shared" si="46"/>
        <v>-128.32309642693684</v>
      </c>
      <c r="F993" s="8">
        <f t="shared" si="46"/>
        <v>-186.85496956989641</v>
      </c>
      <c r="G993" s="8">
        <f t="shared" si="46"/>
        <v>-173.70993913979279</v>
      </c>
      <c r="H993" s="8">
        <f t="shared" si="46"/>
        <v>-147.41987827958562</v>
      </c>
    </row>
    <row r="994" spans="1:8" x14ac:dyDescent="0.2">
      <c r="A994" s="11"/>
      <c r="B994" s="11">
        <v>0.97599999999999998</v>
      </c>
      <c r="C994">
        <f t="shared" si="47"/>
        <v>-94.230769230769226</v>
      </c>
      <c r="D994" s="8">
        <f t="shared" si="46"/>
        <v>-136.81629758751112</v>
      </c>
      <c r="E994" s="8">
        <f t="shared" si="46"/>
        <v>-128.39159314190033</v>
      </c>
      <c r="F994" s="8">
        <f t="shared" si="46"/>
        <v>-186.88155875062768</v>
      </c>
      <c r="G994" s="8">
        <f t="shared" si="46"/>
        <v>-173.76311750125535</v>
      </c>
      <c r="H994" s="8">
        <f t="shared" si="46"/>
        <v>-147.52623500251067</v>
      </c>
    </row>
    <row r="995" spans="1:8" x14ac:dyDescent="0.2">
      <c r="A995" s="11"/>
      <c r="B995" s="11">
        <v>0.97699999999999998</v>
      </c>
      <c r="C995">
        <f t="shared" si="47"/>
        <v>-94.284269094587756</v>
      </c>
      <c r="D995" s="8">
        <f t="shared" si="46"/>
        <v>-136.89864716985051</v>
      </c>
      <c r="E995" s="8">
        <f t="shared" si="46"/>
        <v>-128.45996924265557</v>
      </c>
      <c r="F995" s="8">
        <f t="shared" si="46"/>
        <v>-186.90808073608341</v>
      </c>
      <c r="G995" s="8">
        <f t="shared" si="46"/>
        <v>-173.81616147216678</v>
      </c>
      <c r="H995" s="8">
        <f t="shared" si="46"/>
        <v>-147.63232294433359</v>
      </c>
    </row>
    <row r="996" spans="1:8" x14ac:dyDescent="0.2">
      <c r="A996" s="11"/>
      <c r="B996" s="11">
        <v>0.97799999999999998</v>
      </c>
      <c r="C996">
        <f t="shared" si="47"/>
        <v>-94.337714863498476</v>
      </c>
      <c r="D996" s="8">
        <f t="shared" si="46"/>
        <v>-136.98083924619135</v>
      </c>
      <c r="E996" s="8">
        <f t="shared" si="46"/>
        <v>-128.52822502543918</v>
      </c>
      <c r="F996" s="8">
        <f t="shared" si="46"/>
        <v>-186.93453572993698</v>
      </c>
      <c r="G996" s="8">
        <f t="shared" si="46"/>
        <v>-173.86907145987396</v>
      </c>
      <c r="H996" s="8">
        <f t="shared" si="46"/>
        <v>-147.73814291974793</v>
      </c>
    </row>
    <row r="997" spans="1:8" x14ac:dyDescent="0.2">
      <c r="A997" s="11"/>
      <c r="B997" s="11">
        <v>0.97899999999999998</v>
      </c>
      <c r="C997">
        <f t="shared" si="47"/>
        <v>-94.391106619504811</v>
      </c>
      <c r="D997" s="8">
        <f t="shared" si="46"/>
        <v>-137.06287421018132</v>
      </c>
      <c r="E997" s="8">
        <f t="shared" si="46"/>
        <v>-128.59636078557372</v>
      </c>
      <c r="F997" s="8">
        <f t="shared" si="46"/>
        <v>-186.96092393514192</v>
      </c>
      <c r="G997" s="8">
        <f t="shared" si="46"/>
        <v>-173.92184787028387</v>
      </c>
      <c r="H997" s="8">
        <f t="shared" si="46"/>
        <v>-147.84369574056774</v>
      </c>
    </row>
    <row r="998" spans="1:8" x14ac:dyDescent="0.2">
      <c r="A998" s="11"/>
      <c r="B998" s="11">
        <v>0.98</v>
      </c>
      <c r="C998">
        <f t="shared" si="47"/>
        <v>-94.444444444444443</v>
      </c>
      <c r="D998" s="8">
        <f t="shared" si="46"/>
        <v>-137.14475245426016</v>
      </c>
      <c r="E998" s="8">
        <f t="shared" si="46"/>
        <v>-128.66437681747189</v>
      </c>
      <c r="F998" s="8">
        <f t="shared" si="46"/>
        <v>-186.9872455539348</v>
      </c>
      <c r="G998" s="8">
        <f t="shared" si="46"/>
        <v>-173.9744911078696</v>
      </c>
      <c r="H998" s="8">
        <f t="shared" si="46"/>
        <v>-147.94898221573916</v>
      </c>
    </row>
    <row r="999" spans="1:8" x14ac:dyDescent="0.2">
      <c r="A999" s="11"/>
      <c r="B999" s="11">
        <v>0.98099999999999998</v>
      </c>
      <c r="C999">
        <f t="shared" si="47"/>
        <v>-94.497728419989897</v>
      </c>
      <c r="D999" s="8">
        <f t="shared" si="46"/>
        <v>-137.2264743696642</v>
      </c>
      <c r="E999" s="8">
        <f t="shared" si="46"/>
        <v>-128.73227341463902</v>
      </c>
      <c r="F999" s="8">
        <f t="shared" si="46"/>
        <v>-187.01350078783804</v>
      </c>
      <c r="G999" s="8">
        <f t="shared" si="46"/>
        <v>-174.02700157567605</v>
      </c>
      <c r="H999" s="8">
        <f t="shared" si="46"/>
        <v>-148.05400315135211</v>
      </c>
    </row>
    <row r="1000" spans="1:8" x14ac:dyDescent="0.2">
      <c r="A1000" s="11"/>
      <c r="B1000" s="11">
        <v>0.98199999999999998</v>
      </c>
      <c r="C1000">
        <f t="shared" si="47"/>
        <v>-94.550958627648839</v>
      </c>
      <c r="D1000" s="8">
        <f t="shared" si="46"/>
        <v>-137.30804034643072</v>
      </c>
      <c r="E1000" s="8">
        <f t="shared" si="46"/>
        <v>-128.80005086967691</v>
      </c>
      <c r="F1000" s="8">
        <f t="shared" si="46"/>
        <v>-187.03968983766293</v>
      </c>
      <c r="G1000" s="8">
        <f t="shared" si="46"/>
        <v>-174.07937967532584</v>
      </c>
      <c r="H1000" s="8">
        <f t="shared" si="46"/>
        <v>-148.15875935065168</v>
      </c>
    </row>
    <row r="1001" spans="1:8" x14ac:dyDescent="0.2">
      <c r="A1001" s="11"/>
      <c r="B1001" s="11">
        <v>0.98299999999999998</v>
      </c>
      <c r="C1001">
        <f t="shared" si="47"/>
        <v>-94.604135148764499</v>
      </c>
      <c r="D1001" s="8">
        <f t="shared" si="46"/>
        <v>-137.38945077340222</v>
      </c>
      <c r="E1001" s="8">
        <f t="shared" si="46"/>
        <v>-128.86770947428701</v>
      </c>
      <c r="F1001" s="8">
        <f t="shared" si="46"/>
        <v>-187.06581290351241</v>
      </c>
      <c r="G1001" s="8">
        <f t="shared" si="46"/>
        <v>-174.13162580702482</v>
      </c>
      <c r="H1001" s="8">
        <f t="shared" si="46"/>
        <v>-148.26325161404966</v>
      </c>
    </row>
    <row r="1002" spans="1:8" x14ac:dyDescent="0.2">
      <c r="A1002" s="11"/>
      <c r="B1002" s="11">
        <v>0.98399999999999999</v>
      </c>
      <c r="C1002">
        <f t="shared" si="47"/>
        <v>-94.657258064516128</v>
      </c>
      <c r="D1002" s="8">
        <f t="shared" si="46"/>
        <v>-137.47070603823065</v>
      </c>
      <c r="E1002" s="8">
        <f t="shared" si="46"/>
        <v>-128.93524951927358</v>
      </c>
      <c r="F1002" s="8">
        <f t="shared" si="46"/>
        <v>-187.09187018478397</v>
      </c>
      <c r="G1002" s="8">
        <f t="shared" si="46"/>
        <v>-174.18374036956794</v>
      </c>
      <c r="H1002" s="8">
        <f t="shared" si="46"/>
        <v>-148.36748073913586</v>
      </c>
    </row>
    <row r="1003" spans="1:8" x14ac:dyDescent="0.2">
      <c r="A1003" s="11"/>
      <c r="B1003" s="11">
        <v>0.98499999999999999</v>
      </c>
      <c r="C1003">
        <f t="shared" si="47"/>
        <v>-94.710327455919384</v>
      </c>
      <c r="D1003" s="8">
        <f t="shared" si="46"/>
        <v>-137.55180652738196</v>
      </c>
      <c r="E1003" s="8">
        <f t="shared" si="46"/>
        <v>-129.00267129454733</v>
      </c>
      <c r="F1003" s="8">
        <f t="shared" si="46"/>
        <v>-187.11786188017243</v>
      </c>
      <c r="G1003" s="8">
        <f t="shared" si="46"/>
        <v>-174.23572376034485</v>
      </c>
      <c r="H1003" s="8">
        <f t="shared" si="46"/>
        <v>-148.47144752068971</v>
      </c>
    </row>
    <row r="1004" spans="1:8" x14ac:dyDescent="0.2">
      <c r="A1004" s="11"/>
      <c r="B1004" s="11">
        <v>0.98599999999999999</v>
      </c>
      <c r="C1004">
        <f t="shared" si="47"/>
        <v>-94.763343403826781</v>
      </c>
      <c r="D1004" s="8">
        <f t="shared" si="46"/>
        <v>-137.63275262614022</v>
      </c>
      <c r="E1004" s="8">
        <f t="shared" si="46"/>
        <v>-129.06997508912818</v>
      </c>
      <c r="F1004" s="8">
        <f t="shared" si="46"/>
        <v>-187.14378818767281</v>
      </c>
      <c r="G1004" s="8">
        <f t="shared" si="46"/>
        <v>-174.28757637534565</v>
      </c>
      <c r="H1004" s="8">
        <f t="shared" si="46"/>
        <v>-148.57515275069127</v>
      </c>
    </row>
    <row r="1005" spans="1:8" x14ac:dyDescent="0.2">
      <c r="A1005" s="11"/>
      <c r="B1005" s="11">
        <v>0.98699999999999999</v>
      </c>
      <c r="C1005">
        <f t="shared" si="47"/>
        <v>-94.816305988928036</v>
      </c>
      <c r="D1005" s="8">
        <f t="shared" si="46"/>
        <v>-137.71354471861181</v>
      </c>
      <c r="E1005" s="8">
        <f t="shared" si="46"/>
        <v>-129.13716119114909</v>
      </c>
      <c r="F1005" s="8">
        <f t="shared" si="46"/>
        <v>-187.1696493045832</v>
      </c>
      <c r="G1005" s="8">
        <f t="shared" si="46"/>
        <v>-174.33929860916638</v>
      </c>
      <c r="H1005" s="8">
        <f t="shared" si="46"/>
        <v>-148.67859721833275</v>
      </c>
    </row>
    <row r="1006" spans="1:8" x14ac:dyDescent="0.2">
      <c r="A1006" s="11"/>
      <c r="B1006" s="11">
        <v>0.98799999999999999</v>
      </c>
      <c r="C1006">
        <f t="shared" si="47"/>
        <v>-94.869215291750507</v>
      </c>
      <c r="D1006" s="8">
        <f t="shared" si="46"/>
        <v>-137.79418318773</v>
      </c>
      <c r="E1006" s="8">
        <f t="shared" si="46"/>
        <v>-129.20422988785879</v>
      </c>
      <c r="F1006" s="8">
        <f t="shared" si="46"/>
        <v>-187.19544542750739</v>
      </c>
      <c r="G1006" s="8">
        <f t="shared" si="46"/>
        <v>-174.39089085501479</v>
      </c>
      <c r="H1006" s="8">
        <f t="shared" si="46"/>
        <v>-148.78178171002955</v>
      </c>
    </row>
    <row r="1007" spans="1:8" x14ac:dyDescent="0.2">
      <c r="A1007" s="11"/>
      <c r="B1007" s="11">
        <v>0.98899999999999999</v>
      </c>
      <c r="C1007">
        <f t="shared" si="47"/>
        <v>-94.922071392659618</v>
      </c>
      <c r="D1007" s="8">
        <f t="shared" si="46"/>
        <v>-137.87466841525872</v>
      </c>
      <c r="E1007" s="8">
        <f t="shared" si="46"/>
        <v>-129.27118146562529</v>
      </c>
      <c r="F1007" s="8">
        <f t="shared" si="46"/>
        <v>-187.22117675235788</v>
      </c>
      <c r="G1007" s="8">
        <f t="shared" si="46"/>
        <v>-174.44235350471573</v>
      </c>
      <c r="H1007" s="8">
        <f t="shared" si="46"/>
        <v>-148.88470700943148</v>
      </c>
    </row>
    <row r="1008" spans="1:8" x14ac:dyDescent="0.2">
      <c r="A1008" s="11"/>
      <c r="B1008" s="11">
        <v>0.99</v>
      </c>
      <c r="C1008">
        <f t="shared" si="47"/>
        <v>-94.9748743718593</v>
      </c>
      <c r="D1008" s="8">
        <f t="shared" si="46"/>
        <v>-137.9550007817972</v>
      </c>
      <c r="E1008" s="8">
        <f t="shared" si="46"/>
        <v>-129.33801620993913</v>
      </c>
      <c r="F1008" s="8">
        <f t="shared" si="46"/>
        <v>-187.24684347435849</v>
      </c>
      <c r="G1008" s="8">
        <f t="shared" si="46"/>
        <v>-174.49368694871694</v>
      </c>
      <c r="H1008" s="8">
        <f t="shared" si="46"/>
        <v>-148.98737389743391</v>
      </c>
    </row>
    <row r="1009" spans="1:8" x14ac:dyDescent="0.2">
      <c r="A1009" s="11"/>
      <c r="B1009" s="11">
        <v>0.99099999999999999</v>
      </c>
      <c r="C1009">
        <f t="shared" si="47"/>
        <v>-95.027624309392266</v>
      </c>
      <c r="D1009" s="8">
        <f t="shared" si="46"/>
        <v>-138.03518066678393</v>
      </c>
      <c r="E1009" s="8">
        <f t="shared" si="46"/>
        <v>-129.40473440541641</v>
      </c>
      <c r="F1009" s="8">
        <f t="shared" si="46"/>
        <v>-187.27244578804718</v>
      </c>
      <c r="G1009" s="8">
        <f t="shared" si="46"/>
        <v>-174.54489157609439</v>
      </c>
      <c r="H1009" s="8">
        <f t="shared" si="46"/>
        <v>-149.08978315218874</v>
      </c>
    </row>
    <row r="1010" spans="1:8" x14ac:dyDescent="0.2">
      <c r="A1010" s="11"/>
      <c r="B1010" s="11">
        <v>0.99199999999999999</v>
      </c>
      <c r="C1010">
        <f t="shared" si="47"/>
        <v>-95.080321285140556</v>
      </c>
      <c r="D1010" s="8">
        <f t="shared" si="46"/>
        <v>-138.11520844850079</v>
      </c>
      <c r="E1010" s="8">
        <f t="shared" si="46"/>
        <v>-129.47133633580202</v>
      </c>
      <c r="F1010" s="8">
        <f t="shared" si="46"/>
        <v>-187.29798388727886</v>
      </c>
      <c r="G1010" s="8">
        <f t="shared" si="46"/>
        <v>-174.59596777455775</v>
      </c>
      <c r="H1010" s="8">
        <f t="shared" si="46"/>
        <v>-149.1919355491155</v>
      </c>
    </row>
    <row r="1011" spans="1:8" x14ac:dyDescent="0.2">
      <c r="A1011" s="11"/>
      <c r="B1011" s="11">
        <v>0.99299999999999999</v>
      </c>
      <c r="C1011">
        <f t="shared" si="47"/>
        <v>-95.132965378825887</v>
      </c>
      <c r="D1011" s="8">
        <f t="shared" si="46"/>
        <v>-138.19508450407761</v>
      </c>
      <c r="E1011" s="8">
        <f t="shared" si="46"/>
        <v>-129.53782228397299</v>
      </c>
      <c r="F1011" s="8">
        <f t="shared" si="46"/>
        <v>-187.32345796522807</v>
      </c>
      <c r="G1011" s="8">
        <f t="shared" si="46"/>
        <v>-174.64691593045612</v>
      </c>
      <c r="H1011" s="8">
        <f t="shared" si="46"/>
        <v>-149.29383186091223</v>
      </c>
    </row>
    <row r="1012" spans="1:8" x14ac:dyDescent="0.2">
      <c r="A1012" s="11"/>
      <c r="B1012" s="11">
        <v>0.99399999999999999</v>
      </c>
      <c r="C1012">
        <f t="shared" si="47"/>
        <v>-95.18555667001003</v>
      </c>
      <c r="D1012" s="8">
        <f t="shared" si="46"/>
        <v>-138.2748092094958</v>
      </c>
      <c r="E1012" s="8">
        <f t="shared" si="46"/>
        <v>-129.60419253194141</v>
      </c>
      <c r="F1012" s="8">
        <f t="shared" si="46"/>
        <v>-187.34886821439164</v>
      </c>
      <c r="G1012" s="8">
        <f t="shared" si="46"/>
        <v>-174.69773642878326</v>
      </c>
      <c r="H1012" s="8">
        <f t="shared" si="46"/>
        <v>-149.39547285756652</v>
      </c>
    </row>
    <row r="1013" spans="1:8" x14ac:dyDescent="0.2">
      <c r="A1013" s="11"/>
      <c r="B1013" s="11">
        <v>0.995</v>
      </c>
      <c r="C1013">
        <f t="shared" si="47"/>
        <v>-95.238095238095241</v>
      </c>
      <c r="D1013" s="8">
        <f t="shared" si="46"/>
        <v>-138.35438293959268</v>
      </c>
      <c r="E1013" s="8">
        <f t="shared" si="46"/>
        <v>-129.67044736085776</v>
      </c>
      <c r="F1013" s="8">
        <f t="shared" si="46"/>
        <v>-187.37421482659155</v>
      </c>
      <c r="G1013" s="8">
        <f t="shared" si="46"/>
        <v>-174.74842965318308</v>
      </c>
      <c r="H1013" s="8">
        <f t="shared" si="46"/>
        <v>-149.49685930636616</v>
      </c>
    </row>
    <row r="1014" spans="1:8" x14ac:dyDescent="0.2">
      <c r="A1014" s="11"/>
      <c r="B1014" s="11">
        <v>0.996</v>
      </c>
      <c r="C1014">
        <f t="shared" si="47"/>
        <v>-95.290581162324642</v>
      </c>
      <c r="D1014" s="8">
        <f t="shared" si="46"/>
        <v>-138.43380606806573</v>
      </c>
      <c r="E1014" s="8">
        <f t="shared" si="46"/>
        <v>-129.73658705101388</v>
      </c>
      <c r="F1014" s="8">
        <f t="shared" si="46"/>
        <v>-187.39949799297753</v>
      </c>
      <c r="G1014" s="8">
        <f t="shared" si="46"/>
        <v>-174.79899598595506</v>
      </c>
      <c r="H1014" s="8">
        <f t="shared" si="46"/>
        <v>-149.59799197191012</v>
      </c>
    </row>
    <row r="1015" spans="1:8" x14ac:dyDescent="0.2">
      <c r="A1015" s="11"/>
      <c r="B1015" s="11">
        <v>0.997</v>
      </c>
      <c r="C1015">
        <f t="shared" si="47"/>
        <v>-95.343014521782663</v>
      </c>
      <c r="D1015" s="8">
        <f t="shared" si="46"/>
        <v>-138.51307896747662</v>
      </c>
      <c r="E1015" s="8">
        <f t="shared" si="46"/>
        <v>-129.80261188184633</v>
      </c>
      <c r="F1015" s="8">
        <f t="shared" si="46"/>
        <v>-187.42471790402982</v>
      </c>
      <c r="G1015" s="8">
        <f t="shared" si="46"/>
        <v>-174.84943580805964</v>
      </c>
      <c r="H1015" s="8">
        <f t="shared" si="46"/>
        <v>-149.69887161611931</v>
      </c>
    </row>
    <row r="1016" spans="1:8" x14ac:dyDescent="0.2">
      <c r="A1016" s="11"/>
      <c r="B1016" s="11">
        <v>0.998</v>
      </c>
      <c r="C1016">
        <f t="shared" si="47"/>
        <v>-95.395395395395397</v>
      </c>
      <c r="D1016" s="8">
        <f t="shared" si="46"/>
        <v>-138.59220200925517</v>
      </c>
      <c r="E1016" s="8">
        <f t="shared" si="46"/>
        <v>-129.86852213193919</v>
      </c>
      <c r="F1016" s="8">
        <f t="shared" si="46"/>
        <v>-187.44987474956179</v>
      </c>
      <c r="G1016" s="8">
        <f t="shared" si="46"/>
        <v>-174.8997494991236</v>
      </c>
      <c r="H1016" s="8">
        <f t="shared" si="46"/>
        <v>-149.7994989982472</v>
      </c>
    </row>
    <row r="1017" spans="1:8" x14ac:dyDescent="0.2">
      <c r="A1017" s="11"/>
      <c r="B1017" s="11">
        <v>0.999</v>
      </c>
      <c r="C1017">
        <f t="shared" si="47"/>
        <v>-95.447723861930967</v>
      </c>
      <c r="D1017" s="8">
        <f t="shared" si="46"/>
        <v>-138.67117556370349</v>
      </c>
      <c r="E1017" s="8">
        <f t="shared" si="46"/>
        <v>-129.93431807902749</v>
      </c>
      <c r="F1017" s="8">
        <f t="shared" si="46"/>
        <v>-187.47496871872264</v>
      </c>
      <c r="G1017" s="8">
        <f t="shared" si="46"/>
        <v>-174.94993743744527</v>
      </c>
      <c r="H1017" s="8">
        <f t="shared" si="46"/>
        <v>-149.89987487489054</v>
      </c>
    </row>
    <row r="1018" spans="1:8" x14ac:dyDescent="0.2">
      <c r="A1018" s="11"/>
      <c r="B1018" s="11">
        <v>1</v>
      </c>
      <c r="C1018">
        <f t="shared" si="47"/>
        <v>-95.5</v>
      </c>
      <c r="D1018" s="8">
        <f t="shared" si="46"/>
        <v>-138.75</v>
      </c>
      <c r="E1018" s="8">
        <f t="shared" si="46"/>
        <v>-130</v>
      </c>
      <c r="F1018" s="8">
        <f t="shared" si="46"/>
        <v>-187.5</v>
      </c>
      <c r="G1018" s="8">
        <f t="shared" si="46"/>
        <v>-175</v>
      </c>
      <c r="H1018" s="8">
        <f t="shared" si="46"/>
        <v>-150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B8FB-215B-0E41-8C0F-D9BEBA54233C}">
  <dimension ref="A1:C16"/>
  <sheetViews>
    <sheetView tabSelected="1" workbookViewId="0">
      <selection activeCell="C17" sqref="C17"/>
    </sheetView>
  </sheetViews>
  <sheetFormatPr baseColWidth="10" defaultRowHeight="16" x14ac:dyDescent="0.2"/>
  <cols>
    <col min="1" max="1" width="30.6640625" bestFit="1" customWidth="1"/>
    <col min="2" max="3" width="13.1640625" bestFit="1" customWidth="1"/>
  </cols>
  <sheetData>
    <row r="1" spans="1:3" x14ac:dyDescent="0.2">
      <c r="A1" t="s">
        <v>21</v>
      </c>
      <c r="B1">
        <v>0.08</v>
      </c>
    </row>
    <row r="3" spans="1:3" x14ac:dyDescent="0.2">
      <c r="A3" t="s">
        <v>25</v>
      </c>
      <c r="B3">
        <v>4</v>
      </c>
      <c r="C3">
        <v>2</v>
      </c>
    </row>
    <row r="4" spans="1:3" x14ac:dyDescent="0.2">
      <c r="A4" t="s">
        <v>26</v>
      </c>
      <c r="B4" s="12">
        <v>-24000</v>
      </c>
      <c r="C4" s="12">
        <v>-9000</v>
      </c>
    </row>
    <row r="5" spans="1:3" x14ac:dyDescent="0.2">
      <c r="B5" s="12"/>
      <c r="C5" s="12"/>
    </row>
    <row r="6" spans="1:3" x14ac:dyDescent="0.2">
      <c r="A6" t="s">
        <v>18</v>
      </c>
      <c r="B6" s="12" t="s">
        <v>19</v>
      </c>
      <c r="C6" s="12" t="s">
        <v>20</v>
      </c>
    </row>
    <row r="7" spans="1:3" x14ac:dyDescent="0.2">
      <c r="A7">
        <v>0</v>
      </c>
      <c r="B7" s="12">
        <v>-150000</v>
      </c>
      <c r="C7" s="12">
        <v>-100000</v>
      </c>
    </row>
    <row r="8" spans="1:3" x14ac:dyDescent="0.2">
      <c r="A8">
        <f>A7+1</f>
        <v>1</v>
      </c>
      <c r="B8" s="12">
        <v>-24000</v>
      </c>
      <c r="C8" s="12">
        <v>-9000</v>
      </c>
    </row>
    <row r="9" spans="1:3" x14ac:dyDescent="0.2">
      <c r="A9">
        <f t="shared" ref="A9:A11" si="0">A8+1</f>
        <v>2</v>
      </c>
      <c r="B9" s="12">
        <v>-24000</v>
      </c>
      <c r="C9" s="12">
        <v>-9000</v>
      </c>
    </row>
    <row r="10" spans="1:3" x14ac:dyDescent="0.2">
      <c r="A10">
        <f t="shared" si="0"/>
        <v>3</v>
      </c>
      <c r="B10" s="12">
        <v>-24000</v>
      </c>
      <c r="C10" s="12"/>
    </row>
    <row r="11" spans="1:3" x14ac:dyDescent="0.2">
      <c r="A11">
        <f t="shared" si="0"/>
        <v>4</v>
      </c>
      <c r="B11" s="12">
        <v>-24000</v>
      </c>
      <c r="C11" s="12"/>
    </row>
    <row r="12" spans="1:3" x14ac:dyDescent="0.2">
      <c r="B12" s="12"/>
      <c r="C12" s="12"/>
    </row>
    <row r="13" spans="1:3" x14ac:dyDescent="0.2">
      <c r="A13" t="s">
        <v>23</v>
      </c>
      <c r="B13" s="12">
        <f>NPV(eacrate,$B$8:$B$11)+$B$7</f>
        <v>-229491.04416106397</v>
      </c>
      <c r="C13" s="12">
        <f>NPV(eacrate,$C$8:$C$9)+$C$7</f>
        <v>-116049.38271604938</v>
      </c>
    </row>
    <row r="14" spans="1:3" x14ac:dyDescent="0.2">
      <c r="A14" t="s">
        <v>24</v>
      </c>
      <c r="B14" s="12">
        <f>$B$7+($B$4/eacrate)*(1-1/(1+eacrate)^$B$3)</f>
        <v>-229491.04416106403</v>
      </c>
      <c r="C14" s="12">
        <f>$C$7+($C$4/eacrate)*(1-1/(1+eacrate)^$C$3)</f>
        <v>-116049.38271604938</v>
      </c>
    </row>
    <row r="15" spans="1:3" x14ac:dyDescent="0.2">
      <c r="B15" s="12"/>
      <c r="C15" s="12"/>
    </row>
    <row r="16" spans="1:3" x14ac:dyDescent="0.2">
      <c r="A16" t="s">
        <v>22</v>
      </c>
      <c r="B16" s="12">
        <f>($B$14*eacrate)/(1-(1/(1+eacrate)^$B$3))</f>
        <v>-69288.120668105868</v>
      </c>
      <c r="C16" s="12">
        <f>($C$14*eacrate)/(1-(1/(1+eacrate)^$C$3))</f>
        <v>-65076.923076923049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NPVs</vt:lpstr>
      <vt:lpstr>EAC</vt:lpstr>
      <vt:lpstr>eacrate</vt:lpstr>
      <vt:lpstr>intrate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Guttman-Kenney</dc:creator>
  <cp:lastModifiedBy>Benedict Guttman-Kenney</cp:lastModifiedBy>
  <dcterms:created xsi:type="dcterms:W3CDTF">2025-02-24T18:23:10Z</dcterms:created>
  <dcterms:modified xsi:type="dcterms:W3CDTF">2025-03-05T15:16:12Z</dcterms:modified>
</cp:coreProperties>
</file>