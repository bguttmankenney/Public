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k/Dropbox/rice/teaching/Core Finance Evening MBA 2024-25 Spring (MGMP 543)/slides/Week2/"/>
    </mc:Choice>
  </mc:AlternateContent>
  <xr:revisionPtr revIDLastSave="0" documentId="13_ncr:1_{8A8C3B70-1DCE-8D42-B1E7-7F1BE3A66712}" xr6:coauthVersionLast="47" xr6:coauthVersionMax="47" xr10:uidLastSave="{00000000-0000-0000-0000-000000000000}"/>
  <bookViews>
    <workbookView xWindow="380" yWindow="500" windowWidth="28040" windowHeight="16440" xr2:uid="{8EC6AB9A-D371-8D47-8058-0E9F694358E2}"/>
  </bookViews>
  <sheets>
    <sheet name="Sheet1" sheetId="1" r:id="rId1"/>
  </sheets>
  <definedNames>
    <definedName name="intrate">Sheet1!$B$2</definedName>
    <definedName name="rate">Sheet1!$B$2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D15" i="1"/>
  <c r="E15" i="1"/>
  <c r="F15" i="1"/>
  <c r="G15" i="1"/>
  <c r="H15" i="1"/>
  <c r="C15" i="1"/>
  <c r="P9" i="1"/>
  <c r="P4" i="1"/>
  <c r="K4" i="1"/>
  <c r="L4" i="1"/>
  <c r="M4" i="1"/>
  <c r="N4" i="1"/>
  <c r="O4" i="1"/>
  <c r="J9" i="1"/>
  <c r="L9" i="1" s="1"/>
  <c r="J8" i="1"/>
  <c r="N8" i="1" s="1"/>
  <c r="J7" i="1"/>
  <c r="L7" i="1" s="1"/>
  <c r="J6" i="1"/>
  <c r="P6" i="1" s="1"/>
  <c r="J5" i="1"/>
  <c r="M5" i="1" s="1"/>
  <c r="J4" i="1"/>
  <c r="D12" i="1"/>
  <c r="E12" i="1"/>
  <c r="F12" i="1"/>
  <c r="G12" i="1"/>
  <c r="C12" i="1"/>
  <c r="D11" i="1"/>
  <c r="E11" i="1"/>
  <c r="F11" i="1"/>
  <c r="G11" i="1"/>
  <c r="H11" i="1"/>
  <c r="C11" i="1"/>
  <c r="O6" i="1" l="1"/>
  <c r="O9" i="1"/>
  <c r="N9" i="1"/>
  <c r="M9" i="1"/>
  <c r="M8" i="1"/>
  <c r="L8" i="1"/>
  <c r="N6" i="1"/>
  <c r="N5" i="1"/>
  <c r="L5" i="1"/>
  <c r="P7" i="1"/>
  <c r="M6" i="1"/>
  <c r="K5" i="1"/>
  <c r="O7" i="1"/>
  <c r="L6" i="1"/>
  <c r="K9" i="1"/>
  <c r="N7" i="1"/>
  <c r="P5" i="1"/>
  <c r="K8" i="1"/>
  <c r="P8" i="1"/>
  <c r="M7" i="1"/>
  <c r="O5" i="1"/>
  <c r="K7" i="1"/>
  <c r="O8" i="1"/>
  <c r="K6" i="1"/>
</calcChain>
</file>

<file path=xl/sharedStrings.xml><?xml version="1.0" encoding="utf-8"?>
<sst xmlns="http://schemas.openxmlformats.org/spreadsheetml/2006/main" count="16" uniqueCount="15">
  <si>
    <t>A</t>
  </si>
  <si>
    <t>B</t>
  </si>
  <si>
    <t>C</t>
  </si>
  <si>
    <t>D</t>
  </si>
  <si>
    <t>E</t>
  </si>
  <si>
    <t>F</t>
  </si>
  <si>
    <t>year</t>
  </si>
  <si>
    <t>NPV</t>
  </si>
  <si>
    <t>IRR</t>
  </si>
  <si>
    <t>PP</t>
  </si>
  <si>
    <t>DPP</t>
  </si>
  <si>
    <t>never</t>
  </si>
  <si>
    <t>ROI</t>
  </si>
  <si>
    <t>discounted cash flows</t>
  </si>
  <si>
    <t>intrest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</si>
</sst>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8" fontId="0" fillId="0" borderId="0" xfId="0" applyNumberFormat="1"/>
    <xf numFmtId="9" fontId="0" fillId="0" borderId="0" xfId="0" applyNumberFormat="1"/>
    <xf numFmtId="8" fontId="2" fillId="0" borderId="0" xfId="0" applyNumberFormat="1" applyFont="1"/>
    <xf numFmtId="0" fontId="2" fillId="0" borderId="0" xfId="0" applyFont="1"/>
    <xf numFmtId="10" fontId="0" fillId="0" borderId="0" xfId="1" applyNumberFormat="1" applyFont="1"/>
    <xf numFmtId="10" fontId="2" fillId="0" borderId="0" xfId="1" applyNumberFormat="1" applyFont="1"/>
    <xf numFmtId="10" fontId="0" fillId="0" borderId="0" xfId="0" applyNumberFormat="1"/>
    <xf numFmtId="10" fontId="2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8777-2558-E147-8BAF-B9839030514E}">
  <dimension ref="A2:P21"/>
  <sheetViews>
    <sheetView tabSelected="1" workbookViewId="0">
      <selection activeCell="B2" sqref="B2"/>
    </sheetView>
  </sheetViews>
  <sheetFormatPr baseColWidth="10" defaultRowHeight="16" x14ac:dyDescent="0.2"/>
  <sheetData>
    <row r="2" spans="1:16" x14ac:dyDescent="0.2">
      <c r="A2" t="s">
        <v>14</v>
      </c>
      <c r="B2">
        <v>0.1</v>
      </c>
      <c r="J2" t="s">
        <v>13</v>
      </c>
    </row>
    <row r="4" spans="1:16" x14ac:dyDescent="0.2">
      <c r="B4" t="s">
        <v>6</v>
      </c>
      <c r="C4" t="s">
        <v>0</v>
      </c>
      <c r="D4" t="s">
        <v>1</v>
      </c>
      <c r="E4" t="s">
        <v>2</v>
      </c>
      <c r="F4" t="s">
        <v>3</v>
      </c>
      <c r="G4" t="s">
        <v>4</v>
      </c>
      <c r="H4" t="s">
        <v>5</v>
      </c>
      <c r="J4" t="str">
        <f t="shared" ref="J4:J9" si="0">B4</f>
        <v>year</v>
      </c>
      <c r="K4" t="str">
        <f t="shared" ref="K4:O4" si="1">C4</f>
        <v>A</v>
      </c>
      <c r="L4" t="str">
        <f t="shared" si="1"/>
        <v>B</v>
      </c>
      <c r="M4" t="str">
        <f t="shared" si="1"/>
        <v>C</v>
      </c>
      <c r="N4" t="str">
        <f t="shared" si="1"/>
        <v>D</v>
      </c>
      <c r="O4" t="str">
        <f t="shared" si="1"/>
        <v>E</v>
      </c>
      <c r="P4" t="str">
        <f>H4</f>
        <v>F</v>
      </c>
    </row>
    <row r="5" spans="1:16" x14ac:dyDescent="0.2">
      <c r="B5">
        <v>0</v>
      </c>
      <c r="C5">
        <v>-200</v>
      </c>
      <c r="D5">
        <v>-200</v>
      </c>
      <c r="E5">
        <v>-200</v>
      </c>
      <c r="F5">
        <v>-200</v>
      </c>
      <c r="G5">
        <v>-200</v>
      </c>
      <c r="H5">
        <v>-400</v>
      </c>
      <c r="J5">
        <f t="shared" si="0"/>
        <v>0</v>
      </c>
      <c r="K5">
        <f t="shared" ref="K5:P9" si="2">C5/(1+rate)^$J5</f>
        <v>-200</v>
      </c>
      <c r="L5">
        <f t="shared" si="2"/>
        <v>-200</v>
      </c>
      <c r="M5">
        <f t="shared" si="2"/>
        <v>-200</v>
      </c>
      <c r="N5">
        <f t="shared" si="2"/>
        <v>-200</v>
      </c>
      <c r="O5">
        <f t="shared" si="2"/>
        <v>-200</v>
      </c>
      <c r="P5">
        <f t="shared" si="2"/>
        <v>-400</v>
      </c>
    </row>
    <row r="6" spans="1:16" x14ac:dyDescent="0.2">
      <c r="B6">
        <v>1</v>
      </c>
      <c r="C6">
        <v>209</v>
      </c>
      <c r="D6">
        <v>0</v>
      </c>
      <c r="E6">
        <v>70</v>
      </c>
      <c r="F6">
        <v>0</v>
      </c>
      <c r="G6">
        <v>0</v>
      </c>
      <c r="H6">
        <v>0</v>
      </c>
      <c r="J6">
        <f t="shared" si="0"/>
        <v>1</v>
      </c>
      <c r="K6">
        <f t="shared" si="2"/>
        <v>189.99999999999997</v>
      </c>
      <c r="L6">
        <f t="shared" si="2"/>
        <v>0</v>
      </c>
      <c r="M6">
        <f t="shared" si="2"/>
        <v>63.636363636363633</v>
      </c>
      <c r="N6">
        <f t="shared" si="2"/>
        <v>0</v>
      </c>
      <c r="O6">
        <f t="shared" si="2"/>
        <v>0</v>
      </c>
      <c r="P6">
        <f t="shared" si="2"/>
        <v>0</v>
      </c>
    </row>
    <row r="7" spans="1:16" x14ac:dyDescent="0.2">
      <c r="B7">
        <v>2</v>
      </c>
      <c r="C7">
        <v>0</v>
      </c>
      <c r="D7">
        <v>140</v>
      </c>
      <c r="E7">
        <v>70</v>
      </c>
      <c r="F7">
        <v>0</v>
      </c>
      <c r="G7">
        <v>0</v>
      </c>
      <c r="H7">
        <v>0</v>
      </c>
      <c r="J7">
        <f t="shared" si="0"/>
        <v>2</v>
      </c>
      <c r="K7">
        <f t="shared" si="2"/>
        <v>0</v>
      </c>
      <c r="L7">
        <f t="shared" si="2"/>
        <v>115.70247933884296</v>
      </c>
      <c r="M7">
        <f t="shared" si="2"/>
        <v>57.851239669421481</v>
      </c>
      <c r="N7">
        <f t="shared" si="2"/>
        <v>0</v>
      </c>
      <c r="O7">
        <f t="shared" si="2"/>
        <v>0</v>
      </c>
      <c r="P7">
        <f t="shared" si="2"/>
        <v>0</v>
      </c>
    </row>
    <row r="8" spans="1:16" x14ac:dyDescent="0.2">
      <c r="B8">
        <v>3</v>
      </c>
      <c r="C8">
        <v>0</v>
      </c>
      <c r="D8">
        <v>140</v>
      </c>
      <c r="E8">
        <v>70</v>
      </c>
      <c r="F8">
        <v>0</v>
      </c>
      <c r="G8">
        <v>0</v>
      </c>
      <c r="H8">
        <v>0</v>
      </c>
      <c r="J8">
        <f t="shared" si="0"/>
        <v>3</v>
      </c>
      <c r="K8">
        <f t="shared" si="2"/>
        <v>0</v>
      </c>
      <c r="L8">
        <f t="shared" si="2"/>
        <v>105.18407212622085</v>
      </c>
      <c r="M8">
        <f t="shared" si="2"/>
        <v>52.592036063110427</v>
      </c>
      <c r="N8">
        <f t="shared" si="2"/>
        <v>0</v>
      </c>
      <c r="O8">
        <f t="shared" si="2"/>
        <v>0</v>
      </c>
      <c r="P8">
        <f t="shared" si="2"/>
        <v>0</v>
      </c>
    </row>
    <row r="9" spans="1:16" x14ac:dyDescent="0.2">
      <c r="B9">
        <v>4</v>
      </c>
      <c r="C9">
        <v>0</v>
      </c>
      <c r="D9">
        <v>140</v>
      </c>
      <c r="E9">
        <v>140</v>
      </c>
      <c r="F9">
        <v>200</v>
      </c>
      <c r="G9">
        <v>400</v>
      </c>
      <c r="H9">
        <v>800</v>
      </c>
      <c r="J9">
        <f t="shared" si="0"/>
        <v>4</v>
      </c>
      <c r="K9">
        <f t="shared" si="2"/>
        <v>0</v>
      </c>
      <c r="L9">
        <f t="shared" si="2"/>
        <v>95.621883751109877</v>
      </c>
      <c r="M9">
        <f t="shared" si="2"/>
        <v>95.621883751109877</v>
      </c>
      <c r="N9">
        <f t="shared" si="2"/>
        <v>136.60269107301411</v>
      </c>
      <c r="O9">
        <f t="shared" si="2"/>
        <v>273.20538214602823</v>
      </c>
      <c r="P9">
        <f t="shared" si="2"/>
        <v>546.41076429205646</v>
      </c>
    </row>
    <row r="11" spans="1:16" x14ac:dyDescent="0.2">
      <c r="B11" t="s">
        <v>7</v>
      </c>
      <c r="C11" s="1">
        <f t="shared" ref="C11:H11" si="3">NPV(rate,C6:C9)+C5</f>
        <v>-10.000000000000028</v>
      </c>
      <c r="D11" s="1">
        <f t="shared" si="3"/>
        <v>116.50843521617367</v>
      </c>
      <c r="E11" s="1">
        <f t="shared" si="3"/>
        <v>69.70152312000539</v>
      </c>
      <c r="F11" s="1">
        <f t="shared" si="3"/>
        <v>-63.397308926985914</v>
      </c>
      <c r="G11" s="1">
        <f t="shared" si="3"/>
        <v>73.205382146028171</v>
      </c>
      <c r="H11" s="3">
        <f t="shared" si="3"/>
        <v>146.41076429205634</v>
      </c>
    </row>
    <row r="12" spans="1:16" x14ac:dyDescent="0.2">
      <c r="B12" t="s">
        <v>8</v>
      </c>
      <c r="C12" s="7">
        <f>IRR(C5:C9)</f>
        <v>4.4999999999999929E-2</v>
      </c>
      <c r="D12" s="8">
        <f t="shared" ref="D12:G12" si="4">IRR(D5:D9)</f>
        <v>0.28977646301174587</v>
      </c>
      <c r="E12" s="7">
        <f t="shared" si="4"/>
        <v>0.23479774801460707</v>
      </c>
      <c r="F12" s="7">
        <f t="shared" si="4"/>
        <v>0</v>
      </c>
      <c r="G12" s="7">
        <f t="shared" si="4"/>
        <v>0.18920711500225251</v>
      </c>
      <c r="H12" s="7">
        <f>IRR(H5:H9)</f>
        <v>0.18920711500225251</v>
      </c>
    </row>
    <row r="13" spans="1:16" x14ac:dyDescent="0.2">
      <c r="B13" t="s">
        <v>9</v>
      </c>
      <c r="C13" s="4">
        <v>1</v>
      </c>
      <c r="D13">
        <v>3</v>
      </c>
      <c r="E13">
        <v>3</v>
      </c>
      <c r="F13">
        <v>4</v>
      </c>
      <c r="G13">
        <v>4</v>
      </c>
      <c r="H13">
        <v>4</v>
      </c>
    </row>
    <row r="14" spans="1:16" x14ac:dyDescent="0.2">
      <c r="B14" t="s">
        <v>10</v>
      </c>
      <c r="C14" t="s">
        <v>11</v>
      </c>
      <c r="D14" s="4">
        <v>3</v>
      </c>
      <c r="E14" s="4">
        <v>3</v>
      </c>
      <c r="F14" t="s">
        <v>11</v>
      </c>
      <c r="G14">
        <v>4</v>
      </c>
      <c r="H14">
        <v>4</v>
      </c>
    </row>
    <row r="15" spans="1:16" x14ac:dyDescent="0.2">
      <c r="B15" t="s">
        <v>12</v>
      </c>
      <c r="C15" s="5">
        <f>SUM(C$6:C$9)/C$5*-1</f>
        <v>1.0449999999999999</v>
      </c>
      <c r="D15" s="6">
        <f t="shared" ref="D15:H15" si="5">SUM(D$6:D$9)/D$5*-1</f>
        <v>2.1</v>
      </c>
      <c r="E15" s="5">
        <f t="shared" si="5"/>
        <v>1.75</v>
      </c>
      <c r="F15" s="5">
        <f t="shared" si="5"/>
        <v>1</v>
      </c>
      <c r="G15" s="5">
        <f t="shared" si="5"/>
        <v>2</v>
      </c>
      <c r="H15" s="5">
        <f t="shared" si="5"/>
        <v>2</v>
      </c>
    </row>
    <row r="21" spans="3:3" x14ac:dyDescent="0.2">
      <c r="C2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intrate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Benedict Guttman-Kenney</dc:creator>
  <cp:lastModifiedBy>Benedict Guttman-Kenney</cp:lastModifiedBy>
  <dcterms:created xsi:type="dcterms:W3CDTF">2025-02-24T18:23:10Z</dcterms:created>
  <dcterms:modified xsi:type="dcterms:W3CDTF">2025-02-24T18:54:27Z</dcterms:modified>
</cp:coreProperties>
</file>