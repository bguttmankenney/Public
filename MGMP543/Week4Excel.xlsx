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guttman-kenney/Dropbox/rice/teaching/Core Finance Evening MBA 2024-25 Spring (MGMP 543)/slides/Week4/"/>
    </mc:Choice>
  </mc:AlternateContent>
  <xr:revisionPtr revIDLastSave="0" documentId="13_ncr:1_{0E2F4347-FCA1-A54C-84DE-3806CA391DAE}" xr6:coauthVersionLast="47" xr6:coauthVersionMax="47" xr10:uidLastSave="{00000000-0000-0000-0000-000000000000}"/>
  <bookViews>
    <workbookView xWindow="-48200" yWindow="-6440" windowWidth="20760" windowHeight="23140" activeTab="5" xr2:uid="{271D9179-762E-014F-908A-50691E89DFAD}"/>
  </bookViews>
  <sheets>
    <sheet name="QuizQuestion2" sheetId="4" r:id="rId1"/>
    <sheet name="GeometricReturn" sheetId="5" r:id="rId2"/>
    <sheet name="Covariance" sheetId="7" r:id="rId3"/>
    <sheet name="PortfolioSDCalculate the standa" sheetId="8" r:id="rId4"/>
    <sheet name="LimitsDiversification" sheetId="3" r:id="rId5"/>
    <sheet name="Example" sheetId="9" r:id="rId6"/>
  </sheets>
  <definedNames>
    <definedName name="covar">LimitsDiversification!$B$2</definedName>
    <definedName name="D_1">QuizQuestion2!$C$16</definedName>
    <definedName name="D_2">QuizQuestion2!$C$17</definedName>
    <definedName name="D_3">QuizQuestion2!$C$19</definedName>
    <definedName name="quizrate">QuizQuestion2!$B$13</definedName>
    <definedName name="var">LimitsDiversification!$B$1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9" l="1"/>
  <c r="B15" i="9"/>
  <c r="B13" i="9"/>
  <c r="B11" i="9"/>
  <c r="B12" i="9"/>
  <c r="B10" i="9"/>
  <c r="B8" i="9"/>
  <c r="B6" i="9"/>
  <c r="B16" i="8"/>
  <c r="B14" i="8"/>
  <c r="C18" i="7"/>
  <c r="C16" i="7"/>
  <c r="C10" i="7"/>
  <c r="C14" i="7"/>
  <c r="C13" i="7"/>
  <c r="C11" i="7"/>
  <c r="C8" i="7"/>
  <c r="C7" i="7"/>
  <c r="E8" i="5"/>
  <c r="E7" i="5"/>
  <c r="E6" i="5"/>
  <c r="E15" i="5" s="1"/>
  <c r="C22" i="4"/>
  <c r="C16" i="4"/>
  <c r="C17" i="4" s="1"/>
  <c r="C19" i="4" s="1"/>
  <c r="C20" i="4" s="1"/>
  <c r="B10" i="3"/>
  <c r="B7" i="3"/>
  <c r="B6" i="3"/>
  <c r="B8" i="3"/>
  <c r="B9" i="3"/>
  <c r="B5" i="3"/>
  <c r="E11" i="5" l="1"/>
</calcChain>
</file>

<file path=xl/sharedStrings.xml><?xml version="1.0" encoding="utf-8"?>
<sst xmlns="http://schemas.openxmlformats.org/spreadsheetml/2006/main" count="79" uniqueCount="78">
  <si>
    <t>variance</t>
  </si>
  <si>
    <t>covariance</t>
  </si>
  <si>
    <t>N</t>
  </si>
  <si>
    <t>Portfolio Variance</t>
  </si>
  <si>
    <t>XYZ Corporationjust paidan annual dividend of $3 per share on its common stock.</t>
  </si>
  <si>
    <t xml:space="preserve">This dividend is expected to grow at a 10% annual rate for two years, after which it is expected to grow at a 6% annual rate forever. </t>
  </si>
  <si>
    <t>If the required return is 10%, what value would you place on this stock? (Hint: the dividend one year from today is $3.30.)</t>
  </si>
  <si>
    <t>Answer:</t>
  </si>
  <si>
    <t>Quiz 3 Question</t>
  </si>
  <si>
    <t>Give your answer in dollars rounded to one decimal place.</t>
  </si>
  <si>
    <t>Calculate this in three steps:</t>
  </si>
  <si>
    <t>1. Calculate dividends for first two years (where they grow at 10%)</t>
  </si>
  <si>
    <t>2. Calculate dividend at end of year 2 (where they start growing at 6%)</t>
  </si>
  <si>
    <t>3. Sum up dividends over next two years, along with growing perpetuity for year three onwards. Discount all of these to today. </t>
  </si>
  <si>
    <t>$3 x (1 + 0.1) = $3.30</t>
  </si>
  <si>
    <t>Formula</t>
  </si>
  <si>
    <t>Calculation</t>
  </si>
  <si>
    <t>$3.30 x (1 + 0.1) = $3.63</t>
  </si>
  <si>
    <t>Dividend end of year 1 (D_1)</t>
  </si>
  <si>
    <t>Dividend end of year 2 (D_2)</t>
  </si>
  <si>
    <t>Dividend end of year 3 (D_3)</t>
  </si>
  <si>
    <t>$3.63 x (1 + 0.06) = $3.85</t>
  </si>
  <si>
    <t>Step 1:</t>
  </si>
  <si>
    <t>Step 2:</t>
  </si>
  <si>
    <t>Step 3:</t>
  </si>
  <si>
    <t>Growing perpetuity for dividends end of year 3 onwards</t>
  </si>
  <si>
    <t>$3.85/(1-0.06)</t>
  </si>
  <si>
    <t>discount rate (quizrate)</t>
  </si>
  <si>
    <t>Add together dividends discounting each to today</t>
  </si>
  <si>
    <t>=$3.3/(1+0.1)+$3.63/(1+0.1)^2+$3.85/((0.1-0.06)*(1+0.1)^2)</t>
  </si>
  <si>
    <t>N.b. if you rounded $3.8478 to $3.85 before step 3, you will get $85.545454 as your answer. This also rounds to $85.5.</t>
  </si>
  <si>
    <t>Q2. Calculate (a) the total return on your stock and (b) the (annual) geometric mean on your stock </t>
  </si>
  <si>
    <t>You purchase GK stock for $23.19 today and it earns the following: </t>
  </si>
  <si>
    <t>Year</t>
  </si>
  <si>
    <t>Price</t>
  </si>
  <si>
    <t>Dividend</t>
  </si>
  <si>
    <t>Calculating yearly return:</t>
  </si>
  <si>
    <t>Annual Arithmetic Mean</t>
  </si>
  <si>
    <t>Annual Geometric Mean</t>
  </si>
  <si>
    <t>3.6%</t>
  </si>
  <si>
    <t>3.36%</t>
  </si>
  <si>
    <t>States</t>
  </si>
  <si>
    <t>X</t>
  </si>
  <si>
    <t>Y</t>
  </si>
  <si>
    <t>Variables</t>
  </si>
  <si>
    <t>Probability</t>
  </si>
  <si>
    <t>E(X)</t>
  </si>
  <si>
    <t>E(Y)</t>
  </si>
  <si>
    <t>VAR(X)</t>
  </si>
  <si>
    <t>VAR(Y)</t>
  </si>
  <si>
    <t>s.d. (X)</t>
  </si>
  <si>
    <t>s.d.(Y)</t>
  </si>
  <si>
    <t>COVAR(X,Y)</t>
  </si>
  <si>
    <t>Correlation(X,Y)</t>
  </si>
  <si>
    <t>Calculate the standard deviation in returns on this rodeo stock portfolio</t>
  </si>
  <si>
    <t>Expected return to Reba Stock is 10% &amp; standard deviation 20%.</t>
  </si>
  <si>
    <t>Expected return to Bun B Stock is 5% &amp; standard deviation 10%.</t>
  </si>
  <si>
    <t>Correlation coefficient between Reba Stock and Bun B Stock is 0.5.</t>
  </si>
  <si>
    <t>What’s the standard deviation in returns to a portfolio investing 75% in Reba Stock and 25% in Bun B Stock?</t>
  </si>
  <si>
    <t>Let A denoate Reba Stock and B denote Bun B Stock</t>
  </si>
  <si>
    <t>w_A = 0.75</t>
  </si>
  <si>
    <t>w_B = 1 - 0.75 = 0.25</t>
  </si>
  <si>
    <t>standard deviation of portfolio:</t>
  </si>
  <si>
    <t>variance of portfolio:</t>
  </si>
  <si>
    <t>Outcome</t>
  </si>
  <si>
    <t>Return on Stock A</t>
  </si>
  <si>
    <t>Return on Stock B</t>
  </si>
  <si>
    <t>Boom</t>
  </si>
  <si>
    <t>Normal</t>
  </si>
  <si>
    <t>Bust</t>
  </si>
  <si>
    <t>Expected Return A:</t>
  </si>
  <si>
    <t>Expected Return B:</t>
  </si>
  <si>
    <t>Standard Deviation A:</t>
  </si>
  <si>
    <t>Standard Deviation B:</t>
  </si>
  <si>
    <t>Covariance (A,B):</t>
  </si>
  <si>
    <t>Variance A:</t>
  </si>
  <si>
    <t>Variance B: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</si>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</sst>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00_);_(* \(#,##0.0000000\);_(* &quot;-&quot;??_);_(@_)"/>
    <numFmt numFmtId="170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rgb="FF2D3B4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170" fontId="0" fillId="0" borderId="0" xfId="0" applyNumberFormat="1"/>
    <xf numFmtId="10" fontId="0" fillId="0" borderId="0" xfId="0" quotePrefix="1" applyNumberFormat="1"/>
    <xf numFmtId="10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7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8AD0-65D8-6044-BC16-35777099C1EB}">
  <dimension ref="A1:C24"/>
  <sheetViews>
    <sheetView workbookViewId="0">
      <selection activeCell="A4" sqref="A4"/>
    </sheetView>
  </sheetViews>
  <sheetFormatPr baseColWidth="10" defaultRowHeight="16" x14ac:dyDescent="0.2"/>
  <cols>
    <col min="1" max="1" width="48.5" customWidth="1"/>
    <col min="2" max="2" width="35" customWidth="1"/>
  </cols>
  <sheetData>
    <row r="1" spans="1:3" x14ac:dyDescent="0.2">
      <c r="A1" s="2" t="s">
        <v>8</v>
      </c>
    </row>
    <row r="2" spans="1:3" x14ac:dyDescent="0.2">
      <c r="A2" t="s">
        <v>4</v>
      </c>
    </row>
    <row r="3" spans="1:3" x14ac:dyDescent="0.2">
      <c r="A3" t="s">
        <v>5</v>
      </c>
    </row>
    <row r="4" spans="1:3" x14ac:dyDescent="0.2">
      <c r="A4" t="s">
        <v>6</v>
      </c>
    </row>
    <row r="5" spans="1:3" x14ac:dyDescent="0.2">
      <c r="A5" t="s">
        <v>9</v>
      </c>
    </row>
    <row r="6" spans="1:3" ht="20" x14ac:dyDescent="0.2">
      <c r="A6" s="3"/>
    </row>
    <row r="7" spans="1:3" x14ac:dyDescent="0.2">
      <c r="A7" s="2" t="s">
        <v>7</v>
      </c>
    </row>
    <row r="8" spans="1:3" x14ac:dyDescent="0.2">
      <c r="A8" t="s">
        <v>10</v>
      </c>
    </row>
    <row r="9" spans="1:3" x14ac:dyDescent="0.2">
      <c r="A9" t="s">
        <v>11</v>
      </c>
    </row>
    <row r="10" spans="1:3" x14ac:dyDescent="0.2">
      <c r="A10" t="s">
        <v>12</v>
      </c>
    </row>
    <row r="11" spans="1:3" x14ac:dyDescent="0.2">
      <c r="A11" t="s">
        <v>13</v>
      </c>
    </row>
    <row r="13" spans="1:3" x14ac:dyDescent="0.2">
      <c r="A13" t="s">
        <v>27</v>
      </c>
      <c r="B13">
        <v>0.1</v>
      </c>
    </row>
    <row r="15" spans="1:3" x14ac:dyDescent="0.2">
      <c r="A15" s="2" t="s">
        <v>22</v>
      </c>
      <c r="B15" t="s">
        <v>16</v>
      </c>
      <c r="C15" t="s">
        <v>15</v>
      </c>
    </row>
    <row r="16" spans="1:3" x14ac:dyDescent="0.2">
      <c r="A16" t="s">
        <v>18</v>
      </c>
      <c r="B16" s="4" t="s">
        <v>14</v>
      </c>
      <c r="C16" s="4">
        <f>3*(1+0.1)</f>
        <v>3.3000000000000003</v>
      </c>
    </row>
    <row r="17" spans="1:3" x14ac:dyDescent="0.2">
      <c r="A17" t="s">
        <v>19</v>
      </c>
      <c r="B17" s="4" t="s">
        <v>17</v>
      </c>
      <c r="C17" s="4">
        <f>D_1*(1+0.1)</f>
        <v>3.6300000000000008</v>
      </c>
    </row>
    <row r="18" spans="1:3" x14ac:dyDescent="0.2">
      <c r="A18" s="2" t="s">
        <v>23</v>
      </c>
      <c r="B18" s="4"/>
      <c r="C18" s="4"/>
    </row>
    <row r="19" spans="1:3" x14ac:dyDescent="0.2">
      <c r="A19" t="s">
        <v>20</v>
      </c>
      <c r="B19" s="4" t="s">
        <v>21</v>
      </c>
      <c r="C19" s="4">
        <f>D_2*(1+0.06)</f>
        <v>3.8478000000000012</v>
      </c>
    </row>
    <row r="20" spans="1:3" x14ac:dyDescent="0.2">
      <c r="A20" t="s">
        <v>25</v>
      </c>
      <c r="B20" s="4" t="s">
        <v>26</v>
      </c>
      <c r="C20">
        <f>D_3/(1-0.06)</f>
        <v>4.0934042553191503</v>
      </c>
    </row>
    <row r="21" spans="1:3" x14ac:dyDescent="0.2">
      <c r="A21" s="2" t="s">
        <v>24</v>
      </c>
    </row>
    <row r="22" spans="1:3" x14ac:dyDescent="0.2">
      <c r="A22" t="s">
        <v>28</v>
      </c>
      <c r="B22" s="4" t="s">
        <v>29</v>
      </c>
      <c r="C22" s="5">
        <f>D_1/(1+quizrate)+D_2/(1+quizrate)^2+D_3/((quizrate-0.06)*(1+quizrate)^2)</f>
        <v>85.5</v>
      </c>
    </row>
    <row r="24" spans="1:3" x14ac:dyDescent="0.2">
      <c r="B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7796-65BB-7D4D-92FD-8614737ECD7D}">
  <dimension ref="A1:E16"/>
  <sheetViews>
    <sheetView workbookViewId="0">
      <selection activeCell="D18" sqref="D18"/>
    </sheetView>
  </sheetViews>
  <sheetFormatPr baseColWidth="10" defaultRowHeight="16" x14ac:dyDescent="0.2"/>
  <sheetData>
    <row r="1" spans="1:5" x14ac:dyDescent="0.2">
      <c r="A1" t="s">
        <v>31</v>
      </c>
    </row>
    <row r="2" spans="1:5" x14ac:dyDescent="0.2">
      <c r="A2" t="s">
        <v>32</v>
      </c>
    </row>
    <row r="4" spans="1:5" x14ac:dyDescent="0.2">
      <c r="A4" t="s">
        <v>33</v>
      </c>
      <c r="B4" t="s">
        <v>34</v>
      </c>
      <c r="C4" t="s">
        <v>35</v>
      </c>
      <c r="E4" s="2" t="s">
        <v>36</v>
      </c>
    </row>
    <row r="5" spans="1:5" x14ac:dyDescent="0.2">
      <c r="A5">
        <v>0</v>
      </c>
      <c r="B5">
        <v>23.19</v>
      </c>
      <c r="C5">
        <v>0</v>
      </c>
    </row>
    <row r="6" spans="1:5" x14ac:dyDescent="0.2">
      <c r="A6">
        <v>1</v>
      </c>
      <c r="B6">
        <v>24.9</v>
      </c>
      <c r="C6">
        <v>0.23</v>
      </c>
      <c r="E6">
        <f>(C6+B6-B5)/B5</f>
        <v>8.3656748598533753E-2</v>
      </c>
    </row>
    <row r="7" spans="1:5" x14ac:dyDescent="0.2">
      <c r="A7">
        <v>2</v>
      </c>
      <c r="B7">
        <v>23.18</v>
      </c>
      <c r="C7">
        <v>0.24</v>
      </c>
      <c r="E7">
        <f>(C7+B7-B6)/B6</f>
        <v>-5.9437751004016083E-2</v>
      </c>
    </row>
    <row r="8" spans="1:5" x14ac:dyDescent="0.2">
      <c r="A8">
        <v>3</v>
      </c>
      <c r="B8">
        <v>24.86</v>
      </c>
      <c r="C8">
        <v>0.25</v>
      </c>
      <c r="E8">
        <f>(C8+B8-B7)/B7</f>
        <v>8.3261432269197577E-2</v>
      </c>
    </row>
    <row r="10" spans="1:5" x14ac:dyDescent="0.2">
      <c r="E10" s="2" t="s">
        <v>37</v>
      </c>
    </row>
    <row r="11" spans="1:5" x14ac:dyDescent="0.2">
      <c r="E11">
        <f>SUM(E6:E8)/3</f>
        <v>3.5826809954571749E-2</v>
      </c>
    </row>
    <row r="12" spans="1:5" x14ac:dyDescent="0.2">
      <c r="E12" s="4" t="s">
        <v>39</v>
      </c>
    </row>
    <row r="13" spans="1:5" x14ac:dyDescent="0.2">
      <c r="E13" s="4"/>
    </row>
    <row r="14" spans="1:5" x14ac:dyDescent="0.2">
      <c r="E14" s="2" t="s">
        <v>38</v>
      </c>
    </row>
    <row r="15" spans="1:5" x14ac:dyDescent="0.2">
      <c r="E15">
        <f>((1+E6)*(1+E7)*(1+E8))^(1/3)-1</f>
        <v>3.3564351098322343E-2</v>
      </c>
    </row>
    <row r="16" spans="1:5" x14ac:dyDescent="0.2">
      <c r="E16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D410-F959-6D47-8CFE-10EBBEA22154}">
  <dimension ref="A1:E18"/>
  <sheetViews>
    <sheetView workbookViewId="0">
      <selection activeCell="B3" sqref="B3"/>
    </sheetView>
  </sheetViews>
  <sheetFormatPr baseColWidth="10" defaultRowHeight="16" x14ac:dyDescent="0.2"/>
  <cols>
    <col min="2" max="2" width="15.33203125" customWidth="1"/>
  </cols>
  <sheetData>
    <row r="1" spans="1:5" x14ac:dyDescent="0.2">
      <c r="D1" s="2" t="s">
        <v>41</v>
      </c>
    </row>
    <row r="2" spans="1:5" x14ac:dyDescent="0.2">
      <c r="C2">
        <v>1</v>
      </c>
      <c r="D2">
        <v>2</v>
      </c>
      <c r="E2">
        <v>3</v>
      </c>
    </row>
    <row r="3" spans="1:5" x14ac:dyDescent="0.2">
      <c r="A3" s="2" t="s">
        <v>44</v>
      </c>
      <c r="B3" t="s">
        <v>42</v>
      </c>
      <c r="C3">
        <v>0</v>
      </c>
      <c r="D3">
        <v>1</v>
      </c>
      <c r="E3">
        <v>2</v>
      </c>
    </row>
    <row r="4" spans="1:5" x14ac:dyDescent="0.2">
      <c r="B4" t="s">
        <v>43</v>
      </c>
      <c r="C4">
        <v>2</v>
      </c>
      <c r="D4">
        <v>1</v>
      </c>
      <c r="E4">
        <v>0</v>
      </c>
    </row>
    <row r="5" spans="1:5" x14ac:dyDescent="0.2">
      <c r="B5" s="2" t="s">
        <v>45</v>
      </c>
      <c r="C5">
        <v>0.25</v>
      </c>
      <c r="D5">
        <v>0.5</v>
      </c>
      <c r="E5">
        <v>0.25</v>
      </c>
    </row>
    <row r="7" spans="1:5" x14ac:dyDescent="0.2">
      <c r="B7" t="s">
        <v>46</v>
      </c>
      <c r="C7">
        <f>(C3*C$5)+(D3*D$5)+(E3*E$5)</f>
        <v>1</v>
      </c>
    </row>
    <row r="8" spans="1:5" x14ac:dyDescent="0.2">
      <c r="B8" t="s">
        <v>47</v>
      </c>
      <c r="C8">
        <f>(C4*C$5)+(D4*D$5)+(E4*E$5)</f>
        <v>1</v>
      </c>
    </row>
    <row r="10" spans="1:5" x14ac:dyDescent="0.2">
      <c r="B10" t="s">
        <v>48</v>
      </c>
      <c r="C10">
        <f>((C3-C7)^2*C$5)+((D3-C7)^2*D$5)+((E3-C7)^2*E$5)</f>
        <v>0.5</v>
      </c>
    </row>
    <row r="11" spans="1:5" x14ac:dyDescent="0.2">
      <c r="B11" t="s">
        <v>49</v>
      </c>
      <c r="C11">
        <f>((C4-C8)^2*C$5)+((D4-C8)^2*D$5)+((E4-C8)^2*E$5)</f>
        <v>0.5</v>
      </c>
    </row>
    <row r="13" spans="1:5" x14ac:dyDescent="0.2">
      <c r="B13" t="s">
        <v>50</v>
      </c>
      <c r="C13">
        <f>SQRT(C10)</f>
        <v>0.70710678118654757</v>
      </c>
    </row>
    <row r="14" spans="1:5" x14ac:dyDescent="0.2">
      <c r="B14" t="s">
        <v>51</v>
      </c>
      <c r="C14">
        <f>SQRT(C11)</f>
        <v>0.70710678118654757</v>
      </c>
    </row>
    <row r="16" spans="1:5" x14ac:dyDescent="0.2">
      <c r="B16" t="s">
        <v>52</v>
      </c>
      <c r="C16">
        <f>((C3-C7)*(C4-C8)*C$5)+((D3-C7)*(D4-C8)*D$5)+((E3-C7)*(E4-C8)*E$5)</f>
        <v>-0.5</v>
      </c>
    </row>
    <row r="18" spans="2:3" x14ac:dyDescent="0.2">
      <c r="B18" t="s">
        <v>53</v>
      </c>
      <c r="C18">
        <f>C16/(C13*C14)</f>
        <v>-0.99999999999999978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9A78-BD53-5043-AA4F-7FDB613471EA}">
  <dimension ref="A1:B17"/>
  <sheetViews>
    <sheetView workbookViewId="0">
      <selection activeCell="B17" sqref="B17"/>
    </sheetView>
  </sheetViews>
  <sheetFormatPr baseColWidth="10" defaultRowHeight="16" x14ac:dyDescent="0.2"/>
  <cols>
    <col min="1" max="1" width="32.1640625" customWidth="1"/>
  </cols>
  <sheetData>
    <row r="1" spans="1:2" x14ac:dyDescent="0.2">
      <c r="A1" s="2" t="s">
        <v>54</v>
      </c>
    </row>
    <row r="3" spans="1:2" x14ac:dyDescent="0.2">
      <c r="A3" t="s">
        <v>55</v>
      </c>
    </row>
    <row r="4" spans="1:2" x14ac:dyDescent="0.2">
      <c r="A4" t="s">
        <v>56</v>
      </c>
    </row>
    <row r="5" spans="1:2" x14ac:dyDescent="0.2">
      <c r="A5" t="s">
        <v>57</v>
      </c>
    </row>
    <row r="7" spans="1:2" x14ac:dyDescent="0.2">
      <c r="A7" s="2" t="s">
        <v>58</v>
      </c>
    </row>
    <row r="9" spans="1:2" x14ac:dyDescent="0.2">
      <c r="A9" t="s">
        <v>59</v>
      </c>
    </row>
    <row r="11" spans="1:2" x14ac:dyDescent="0.2">
      <c r="A11" t="s">
        <v>60</v>
      </c>
    </row>
    <row r="12" spans="1:2" x14ac:dyDescent="0.2">
      <c r="A12" t="s">
        <v>61</v>
      </c>
    </row>
    <row r="14" spans="1:2" x14ac:dyDescent="0.2">
      <c r="A14" s="2" t="s">
        <v>63</v>
      </c>
      <c r="B14">
        <f>((0.75^2)*(0.2^2)+((0.25^2)*(0.1^2)+2*0.75*0.25*0.5*0.2*0.1))</f>
        <v>2.6875000000000007E-2</v>
      </c>
    </row>
    <row r="16" spans="1:2" x14ac:dyDescent="0.2">
      <c r="A16" s="2" t="s">
        <v>62</v>
      </c>
      <c r="B16">
        <f>SQRT(B14)</f>
        <v>0.16393596310755004</v>
      </c>
    </row>
    <row r="17" spans="2:2" x14ac:dyDescent="0.2">
      <c r="B17" s="7">
        <v>0.16389999999999999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EDE8-7D5C-2C44-9A1C-36DC351B5734}">
  <dimension ref="A1:B10"/>
  <sheetViews>
    <sheetView workbookViewId="0">
      <selection activeCell="B10" sqref="B10"/>
    </sheetView>
  </sheetViews>
  <sheetFormatPr baseColWidth="10" defaultRowHeight="16" x14ac:dyDescent="0.2"/>
  <cols>
    <col min="2" max="2" width="18.6640625" bestFit="1" customWidth="1"/>
  </cols>
  <sheetData>
    <row r="1" spans="1:2" x14ac:dyDescent="0.2">
      <c r="A1" t="s">
        <v>0</v>
      </c>
      <c r="B1">
        <v>0.4</v>
      </c>
    </row>
    <row r="2" spans="1:2" x14ac:dyDescent="0.2">
      <c r="A2" t="s">
        <v>1</v>
      </c>
      <c r="B2">
        <v>0.7</v>
      </c>
    </row>
    <row r="4" spans="1:2" x14ac:dyDescent="0.2">
      <c r="A4" t="s">
        <v>2</v>
      </c>
      <c r="B4" t="s">
        <v>3</v>
      </c>
    </row>
    <row r="5" spans="1:2" x14ac:dyDescent="0.2">
      <c r="A5">
        <v>1</v>
      </c>
      <c r="B5" s="1">
        <f t="shared" ref="B5:B9" si="0">$A5*((1/$A5)^2)*var+$A5*($A5-1)*((1/$A5)^2)*covar*var</f>
        <v>0.4</v>
      </c>
    </row>
    <row r="6" spans="1:2" x14ac:dyDescent="0.2">
      <c r="A6">
        <v>2</v>
      </c>
      <c r="B6" s="1">
        <f t="shared" si="0"/>
        <v>0.33999999999999997</v>
      </c>
    </row>
    <row r="7" spans="1:2" x14ac:dyDescent="0.2">
      <c r="A7">
        <v>3</v>
      </c>
      <c r="B7" s="1">
        <f t="shared" si="0"/>
        <v>0.31999999999999995</v>
      </c>
    </row>
    <row r="8" spans="1:2" x14ac:dyDescent="0.2">
      <c r="A8">
        <v>100</v>
      </c>
      <c r="B8" s="1">
        <f t="shared" si="0"/>
        <v>0.28120000000000006</v>
      </c>
    </row>
    <row r="9" spans="1:2" x14ac:dyDescent="0.2">
      <c r="A9">
        <v>1000</v>
      </c>
      <c r="B9" s="1">
        <f t="shared" si="0"/>
        <v>0.28011999999999998</v>
      </c>
    </row>
    <row r="10" spans="1:2" x14ac:dyDescent="0.2">
      <c r="A10">
        <v>1000000</v>
      </c>
      <c r="B10" s="1">
        <f>$A10*((1/$A10)^2)*var+$A10*($A10-1)*((1/$A10)^2)*covar*var</f>
        <v>0.28000012000000002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31E1-1BAA-0347-98BE-96D630B8A71F}">
  <dimension ref="A1:D16"/>
  <sheetViews>
    <sheetView tabSelected="1" workbookViewId="0">
      <selection activeCell="A17" sqref="A17"/>
    </sheetView>
  </sheetViews>
  <sheetFormatPr baseColWidth="10" defaultRowHeight="16" x14ac:dyDescent="0.2"/>
  <cols>
    <col min="1" max="1" width="22.1640625" customWidth="1"/>
    <col min="3" max="3" width="15.1640625" bestFit="1" customWidth="1"/>
    <col min="4" max="4" width="15.33203125" bestFit="1" customWidth="1"/>
  </cols>
  <sheetData>
    <row r="1" spans="1:4" x14ac:dyDescent="0.2">
      <c r="A1" t="s">
        <v>64</v>
      </c>
      <c r="B1" t="s">
        <v>45</v>
      </c>
      <c r="C1" t="s">
        <v>65</v>
      </c>
      <c r="D1" t="s">
        <v>66</v>
      </c>
    </row>
    <row r="2" spans="1:4" x14ac:dyDescent="0.2">
      <c r="A2" t="s">
        <v>67</v>
      </c>
      <c r="B2">
        <v>0.25</v>
      </c>
      <c r="C2">
        <v>0.2</v>
      </c>
      <c r="D2">
        <v>0.05</v>
      </c>
    </row>
    <row r="3" spans="1:4" x14ac:dyDescent="0.2">
      <c r="A3" t="s">
        <v>68</v>
      </c>
      <c r="B3">
        <v>0.5</v>
      </c>
      <c r="C3">
        <v>0.1</v>
      </c>
      <c r="D3">
        <v>0.1</v>
      </c>
    </row>
    <row r="4" spans="1:4" x14ac:dyDescent="0.2">
      <c r="A4" t="s">
        <v>69</v>
      </c>
      <c r="B4">
        <v>0.25</v>
      </c>
      <c r="C4">
        <v>0</v>
      </c>
      <c r="D4">
        <v>0.15</v>
      </c>
    </row>
    <row r="6" spans="1:4" x14ac:dyDescent="0.2">
      <c r="A6" t="s">
        <v>70</v>
      </c>
      <c r="B6">
        <f>(B$2*C$2)+(B$3*C$3)+(B$4*C$4)</f>
        <v>0.1</v>
      </c>
    </row>
    <row r="8" spans="1:4" x14ac:dyDescent="0.2">
      <c r="A8" t="s">
        <v>71</v>
      </c>
      <c r="B8">
        <f>(B$2*D$2)+(B$3*D$3)+(B$4*D$4)</f>
        <v>0.1</v>
      </c>
    </row>
    <row r="10" spans="1:4" x14ac:dyDescent="0.2">
      <c r="A10" t="s">
        <v>75</v>
      </c>
      <c r="B10">
        <f>(B$2*(C$2-$B6)^2)+(B$3*(C$3-$B6)^2)+(B$4*(C$4-$B6)^2)</f>
        <v>5.000000000000001E-3</v>
      </c>
    </row>
    <row r="11" spans="1:4" x14ac:dyDescent="0.2">
      <c r="A11" t="s">
        <v>72</v>
      </c>
      <c r="B11">
        <f>SQRT(B10)</f>
        <v>7.0710678118654766E-2</v>
      </c>
    </row>
    <row r="12" spans="1:4" x14ac:dyDescent="0.2">
      <c r="A12" t="s">
        <v>76</v>
      </c>
      <c r="B12">
        <f>(B$2*(D$2-$B8)^2)+(B$3*(D$3-$B8)^2)+(B$4*(D$4-$B8)^2)</f>
        <v>1.2499999999999998E-3</v>
      </c>
    </row>
    <row r="13" spans="1:4" x14ac:dyDescent="0.2">
      <c r="A13" t="s">
        <v>73</v>
      </c>
      <c r="B13">
        <f>SQRT(B12)</f>
        <v>3.5355339059327376E-2</v>
      </c>
    </row>
    <row r="15" spans="1:4" x14ac:dyDescent="0.2">
      <c r="A15" t="s">
        <v>74</v>
      </c>
      <c r="B15">
        <f>(B$2*(C$2-$B6)*(D$2-$B8))+(B$3*(C$3-$B6)*(D$3-$B8))+(B$4*(C$4-$B6)*(D$4-$B8))</f>
        <v>-2.5000000000000001E-3</v>
      </c>
    </row>
    <row r="16" spans="1:4" x14ac:dyDescent="0.2">
      <c r="A16" t="s">
        <v>77</v>
      </c>
      <c r="B16">
        <f>B15/(B11*B13)</f>
        <v>-0.99999999999999978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QuizQuestion2</vt:lpstr>
      <vt:lpstr>GeometricReturn</vt:lpstr>
      <vt:lpstr>Covariance</vt:lpstr>
      <vt:lpstr>PortfolioSDCalculate the standa</vt:lpstr>
      <vt:lpstr>LimitsDiversification</vt:lpstr>
      <vt:lpstr>Example</vt:lpstr>
      <vt:lpstr>covar</vt:lpstr>
      <vt:lpstr>D_1</vt:lpstr>
      <vt:lpstr>D_2</vt:lpstr>
      <vt:lpstr>D_3</vt:lpstr>
      <vt:lpstr>quizrate</vt:lpstr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2025-02-09T17:37:28Z</dcterms:created>
  <dcterms:modified xsi:type="dcterms:W3CDTF">2025-03-11T16:14:46Z</dcterms:modified>
</cp:coreProperties>
</file>