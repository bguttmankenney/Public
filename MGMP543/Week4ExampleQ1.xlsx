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4/"/>
    </mc:Choice>
  </mc:AlternateContent>
  <xr:revisionPtr revIDLastSave="0" documentId="13_ncr:1_{38064228-E9A3-9F41-ABA9-E0C9B99824D9}" xr6:coauthVersionLast="47" xr6:coauthVersionMax="47" xr10:uidLastSave="{00000000-0000-0000-0000-000000000000}"/>
  <bookViews>
    <workbookView xWindow="-25300" yWindow="-1640" windowWidth="15780" windowHeight="18800" xr2:uid="{D746F2F7-0205-0743-B773-52776959A1BA}"/>
  </bookViews>
  <sheets>
    <sheet name="Q1" sheetId="1" r:id="rId1"/>
  </sheets>
  <definedNames>
    <definedName name="corrAB">'Q1'!$B$14</definedName>
    <definedName name="covAB">'Q1'!$B$13</definedName>
    <definedName name="rA">'Q1'!$B$7</definedName>
    <definedName name="rB">'Q1'!$B$8</definedName>
    <definedName name="sdA">'Q1'!$B$11</definedName>
    <definedName name="sdB">'Q1'!$B$12</definedName>
    <definedName name="varA">'Q1'!$B$9</definedName>
    <definedName name="varB">'Q1'!$B$10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 a="1"/>
  <c r="C13" i="1" s="1"/>
  <c r="C10" i="1" a="1"/>
  <c r="C10" i="1" s="1"/>
  <c r="C12" i="1" s="1"/>
  <c r="C9" i="1" a="1"/>
  <c r="C9" i="1" s="1"/>
  <c r="C11" i="1" s="1"/>
  <c r="C8" i="1"/>
  <c r="C7" i="1"/>
  <c r="B14" i="1"/>
  <c r="B13" i="1"/>
  <c r="B10" i="1"/>
  <c r="B9" i="1"/>
  <c r="B12" i="1"/>
  <c r="B8" i="1"/>
  <c r="B7" i="1"/>
  <c r="B25" i="1"/>
  <c r="B26" i="1" s="1"/>
  <c r="B11" i="1"/>
  <c r="B17" i="1"/>
  <c r="B18" i="1" s="1"/>
  <c r="B29" i="1" l="1"/>
  <c r="B30" i="1" s="1"/>
  <c r="B21" i="1"/>
  <c r="B22" i="1" s="1"/>
  <c r="C21" i="1" l="1"/>
  <c r="C22" i="1" s="1"/>
  <c r="C29" i="1"/>
  <c r="C3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<sst xmlns="http://schemas.openxmlformats.org/spreadsheetml/2006/main" count="31" uniqueCount="26">
  <si>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var</t>
  </si>
  <si>
    <t>s.d.</t>
  </si>
  <si>
    <t>Using covariance</t>
  </si>
  <si>
    <t>Using variances and correlations</t>
  </si>
  <si>
    <t>Portfolio Benedict</t>
  </si>
  <si>
    <t>Portfolio GK</t>
  </si>
  <si>
    <t>S.D. A</t>
  </si>
  <si>
    <t>S.D. B</t>
  </si>
  <si>
    <t>COV (A,B)</t>
  </si>
  <si>
    <t>Correlation</t>
  </si>
  <si>
    <t>r A</t>
  </si>
  <si>
    <t>r B</t>
  </si>
  <si>
    <t>w A</t>
  </si>
  <si>
    <t>w B</t>
  </si>
  <si>
    <t>var A</t>
  </si>
  <si>
    <t>var B</t>
  </si>
  <si>
    <t>Using covariances</t>
  </si>
  <si>
    <t>Outcome</t>
  </si>
  <si>
    <t>Boom</t>
  </si>
  <si>
    <t>Normal</t>
  </si>
  <si>
    <t>Bust</t>
  </si>
  <si>
    <t>Probability</t>
  </si>
  <si>
    <t>Return on Stock A</t>
  </si>
  <si>
    <t>Return on Stock B</t>
  </si>
  <si>
    <t>Manually</t>
  </si>
  <si>
    <t>Excel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</si>
</sst>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FC43-55F9-5141-B2F7-C41FCACD313A}">
  <dimension ref="A1:D30"/>
  <sheetViews>
    <sheetView tabSelected="1" workbookViewId="0">
      <selection activeCell="C14" sqref="C14"/>
    </sheetView>
  </sheetViews>
  <sheetFormatPr baseColWidth="10" defaultRowHeight="16" x14ac:dyDescent="0.2"/>
  <cols>
    <col min="2" max="2" width="14.83203125" bestFit="1" customWidth="1"/>
    <col min="3" max="3" width="27.6640625" bestFit="1" customWidth="1"/>
  </cols>
  <sheetData>
    <row r="1" spans="1:4" x14ac:dyDescent="0.2">
      <c r="A1" t="s">
        <v>17</v>
      </c>
      <c r="B1" t="s">
        <v>21</v>
      </c>
      <c r="C1" t="s">
        <v>22</v>
      </c>
      <c r="D1" t="s">
        <v>23</v>
      </c>
    </row>
    <row r="2" spans="1:4" x14ac:dyDescent="0.2">
      <c r="A2" t="s">
        <v>18</v>
      </c>
      <c r="B2">
        <v>0.25</v>
      </c>
      <c r="C2">
        <v>0.2</v>
      </c>
      <c r="D2">
        <v>0.05</v>
      </c>
    </row>
    <row r="3" spans="1:4" x14ac:dyDescent="0.2">
      <c r="A3" t="s">
        <v>19</v>
      </c>
      <c r="B3">
        <v>0.5</v>
      </c>
      <c r="C3">
        <v>0.1</v>
      </c>
      <c r="D3">
        <v>0.1</v>
      </c>
    </row>
    <row r="4" spans="1:4" x14ac:dyDescent="0.2">
      <c r="A4" t="s">
        <v>20</v>
      </c>
      <c r="B4">
        <v>0.25</v>
      </c>
      <c r="C4">
        <v>0</v>
      </c>
      <c r="D4">
        <v>0.15</v>
      </c>
    </row>
    <row r="6" spans="1:4" x14ac:dyDescent="0.2">
      <c r="B6" t="s">
        <v>24</v>
      </c>
      <c r="C6" t="s">
        <v>25</v>
      </c>
    </row>
    <row r="7" spans="1:4" x14ac:dyDescent="0.2">
      <c r="A7" t="s">
        <v>10</v>
      </c>
      <c r="B7">
        <f>($B$2*C$2)+($B$3*C$3)+($B$4*C$4)</f>
        <v>0.1</v>
      </c>
      <c r="C7">
        <f>SUMPRODUCT($B$2:$B$4,$C$2:$C$4)</f>
        <v>0.1</v>
      </c>
    </row>
    <row r="8" spans="1:4" x14ac:dyDescent="0.2">
      <c r="A8" t="s">
        <v>11</v>
      </c>
      <c r="B8">
        <f>($B$2*D$2)+($B$3*D$3)+($B$4*D$4)</f>
        <v>0.1</v>
      </c>
      <c r="C8">
        <f>SUMPRODUCT($B$2:$B$4,$D$2:$D$4)</f>
        <v>0.1</v>
      </c>
    </row>
    <row r="9" spans="1:4" x14ac:dyDescent="0.2">
      <c r="A9" t="s">
        <v>14</v>
      </c>
      <c r="B9">
        <f>$B$2*(C$2-rA)^2+$B$3*(C$3-rA)^2+$B$4*(C$4-rA)^2</f>
        <v>5.000000000000001E-3</v>
      </c>
      <c r="C9" cm="1">
        <f t="array" ref="C9">SUMPRODUCT($B$2:$B$4,($C$2:$C$4-rA)^2)</f>
        <v>5.000000000000001E-3</v>
      </c>
    </row>
    <row r="10" spans="1:4" x14ac:dyDescent="0.2">
      <c r="A10" t="s">
        <v>15</v>
      </c>
      <c r="B10">
        <f>$B$2*(D$2-rB)^2+$B$3*(D$3-rB)^2+$B$4*(D$4-rB)^2</f>
        <v>1.2499999999999998E-3</v>
      </c>
      <c r="C10" cm="1">
        <f t="array" ref="C10">SUMPRODUCT($B$2:$B$4,($D$2:$D$4-rB)^2)</f>
        <v>1.2499999999999998E-3</v>
      </c>
    </row>
    <row r="11" spans="1:4" x14ac:dyDescent="0.2">
      <c r="A11" t="s">
        <v>6</v>
      </c>
      <c r="B11">
        <f>SQRT(B9)</f>
        <v>7.0710678118654766E-2</v>
      </c>
      <c r="C11">
        <f>SQRT(C9)</f>
        <v>7.0710678118654766E-2</v>
      </c>
    </row>
    <row r="12" spans="1:4" x14ac:dyDescent="0.2">
      <c r="A12" t="s">
        <v>7</v>
      </c>
      <c r="B12">
        <f>SQRT(B10)</f>
        <v>3.5355339059327376E-2</v>
      </c>
      <c r="C12">
        <f>SQRT(C10)</f>
        <v>3.5355339059327376E-2</v>
      </c>
    </row>
    <row r="13" spans="1:4" x14ac:dyDescent="0.2">
      <c r="A13" t="s">
        <v>8</v>
      </c>
      <c r="B13">
        <f>$B$2*($C$2-rA)*($D$2-rA)+$B$3*($C$3-rA)*($D$3-rB)+$B$4*($C$4-rA)*($D$4-rB)</f>
        <v>-2.5000000000000001E-3</v>
      </c>
      <c r="C13" cm="1">
        <f t="array" ref="C13">SUMPRODUCT($B$2:$B$4,($C$2:$C$4-rA)*($D$2:$D$4-rB))</f>
        <v>-2.5000000000000001E-3</v>
      </c>
    </row>
    <row r="14" spans="1:4" x14ac:dyDescent="0.2">
      <c r="A14" t="s">
        <v>9</v>
      </c>
      <c r="B14">
        <f>B13/((B11)*(B12))</f>
        <v>-0.99999999999999978</v>
      </c>
      <c r="C14">
        <f>C13/((C11)*(C12))</f>
        <v>-0.99999999999999978</v>
      </c>
    </row>
    <row r="16" spans="1:4" x14ac:dyDescent="0.2">
      <c r="A16" s="1" t="s">
        <v>4</v>
      </c>
    </row>
    <row r="17" spans="1:3" x14ac:dyDescent="0.2">
      <c r="A17" s="2" t="s">
        <v>12</v>
      </c>
      <c r="B17">
        <f>150/300</f>
        <v>0.5</v>
      </c>
    </row>
    <row r="18" spans="1:3" x14ac:dyDescent="0.2">
      <c r="A18" s="2" t="s">
        <v>13</v>
      </c>
      <c r="B18">
        <f>1-B17</f>
        <v>0.5</v>
      </c>
    </row>
    <row r="19" spans="1:3" x14ac:dyDescent="0.2">
      <c r="A19" s="2"/>
    </row>
    <row r="20" spans="1:3" x14ac:dyDescent="0.2">
      <c r="B20" t="s">
        <v>16</v>
      </c>
      <c r="C20" t="s">
        <v>3</v>
      </c>
    </row>
    <row r="21" spans="1:3" x14ac:dyDescent="0.2">
      <c r="A21" t="s">
        <v>0</v>
      </c>
      <c r="B21">
        <f>(($B$17)^2)*(varA)+(($B$18)^2)*(varB)+2*$B$17*$B$18*covAB</f>
        <v>3.1250000000000006E-4</v>
      </c>
      <c r="C21">
        <f>(($B$17)^2)*(varA)+(($B$18)^2)*(varB)+2*($B$17)*($B$18)*corrAB*sdA*sdB</f>
        <v>3.1250000000000006E-4</v>
      </c>
    </row>
    <row r="22" spans="1:3" x14ac:dyDescent="0.2">
      <c r="A22" t="s">
        <v>1</v>
      </c>
      <c r="B22">
        <f>SQRT(B21)</f>
        <v>1.7677669529663691E-2</v>
      </c>
      <c r="C22">
        <f>SQRT(C21)</f>
        <v>1.7677669529663691E-2</v>
      </c>
    </row>
    <row r="24" spans="1:3" x14ac:dyDescent="0.2">
      <c r="A24" s="1" t="s">
        <v>5</v>
      </c>
    </row>
    <row r="25" spans="1:3" x14ac:dyDescent="0.2">
      <c r="A25" s="2" t="s">
        <v>12</v>
      </c>
      <c r="B25">
        <f>100/300</f>
        <v>0.33333333333333331</v>
      </c>
    </row>
    <row r="26" spans="1:3" x14ac:dyDescent="0.2">
      <c r="A26" s="2" t="s">
        <v>13</v>
      </c>
      <c r="B26">
        <f>1-B25</f>
        <v>0.66666666666666674</v>
      </c>
    </row>
    <row r="27" spans="1:3" x14ac:dyDescent="0.2">
      <c r="A27" s="2"/>
    </row>
    <row r="28" spans="1:3" x14ac:dyDescent="0.2">
      <c r="B28" t="s">
        <v>2</v>
      </c>
      <c r="C28" t="s">
        <v>3</v>
      </c>
    </row>
    <row r="29" spans="1:3" x14ac:dyDescent="0.2">
      <c r="A29" t="s">
        <v>0</v>
      </c>
      <c r="B29">
        <f>(($B$25)^2)*(varA)+(($B$26)^2)*(varB)+(2*($B$25)*($B$26)*($B$13))</f>
        <v>0</v>
      </c>
      <c r="C29">
        <f>(($B$25)^2)*(varA)+(($B$26)^2)*(varB)+(2*($B$25)*($B$26)*(corrAB)*sdA*sdB)</f>
        <v>0</v>
      </c>
    </row>
    <row r="30" spans="1:3" x14ac:dyDescent="0.2">
      <c r="A30" t="s">
        <v>1</v>
      </c>
      <c r="B30">
        <f>SQRT(B29)</f>
        <v>0</v>
      </c>
      <c r="C30">
        <f>SQRT(C29)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Q1</vt:lpstr>
      <vt:lpstr>corrAB</vt:lpstr>
      <vt:lpstr>covAB</vt:lpstr>
      <vt:lpstr>rA</vt:lpstr>
      <vt:lpstr>rB</vt:lpstr>
      <vt:lpstr>sdA</vt:lpstr>
      <vt:lpstr>sdB</vt:lpstr>
      <vt:lpstr>varA</vt:lpstr>
      <vt:lpstr>varB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2025-03-10T20:15:24Z</dcterms:created>
  <dcterms:modified xsi:type="dcterms:W3CDTF">2025-03-17T02:01:20Z</dcterms:modified>
</cp:coreProperties>
</file>