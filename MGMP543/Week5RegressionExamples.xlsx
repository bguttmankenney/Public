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k/Dropbox/rice/teaching/Core Finance Evening MBA 2024-25 Spring (MGMP 543)/slides/Week5/"/>
    </mc:Choice>
  </mc:AlternateContent>
  <xr:revisionPtr revIDLastSave="0" documentId="13_ncr:1_{AFBA353B-DA59-0145-8756-7E04E1A94993}" xr6:coauthVersionLast="47" xr6:coauthVersionMax="47" xr10:uidLastSave="{00000000-0000-0000-0000-000000000000}"/>
  <bookViews>
    <workbookView xWindow="-36700" yWindow="-3100" windowWidth="19340" windowHeight="20040" xr2:uid="{271D9179-762E-014F-908A-50691E89DFAD}"/>
  </bookViews>
  <sheets>
    <sheet name="W4ExampleQ2" sheetId="16" r:id="rId1"/>
    <sheet name="W5ExampleSolution" sheetId="7" r:id="rId2"/>
    <sheet name="W5ExampleRegression" sheetId="11" r:id="rId3"/>
    <sheet name="W5ExampleQ6" sheetId="15" r:id="rId4"/>
    <sheet name="W5ExampleQ6Solution" sheetId="12" r:id="rId5"/>
  </sheets>
  <definedNames>
    <definedName name="covar">#REF!</definedName>
    <definedName name="D_1">#REF!</definedName>
    <definedName name="D_2">#REF!</definedName>
    <definedName name="D_3">#REF!</definedName>
    <definedName name="quizrate">#REF!</definedName>
    <definedName name="v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2" l="1"/>
  <c r="C14" i="7" a="1"/>
  <c r="C14" i="7" s="1"/>
  <c r="B14" i="7" a="1"/>
  <c r="B14" i="7" s="1"/>
  <c r="A30" i="7"/>
  <c r="A20" i="7"/>
  <c r="A27" i="7" s="1"/>
  <c r="C16" i="7"/>
  <c r="B16" i="7"/>
  <c r="C15" i="7"/>
  <c r="C17" i="7" s="1"/>
  <c r="B15" i="7"/>
  <c r="B17" i="7" s="1"/>
  <c r="C13" i="7"/>
  <c r="B13" i="7"/>
  <c r="A2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<sst xmlns="http://schemas.openxmlformats.org/spreadsheetml/2006/main" count="83" uniqueCount="49">
  <si>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Year</t>
  </si>
  <si>
    <t>Large Stocks</t>
  </si>
  <si>
    <t>Small Stocks</t>
  </si>
  <si>
    <t>Covariance</t>
  </si>
  <si>
    <t>Correlation</t>
  </si>
  <si>
    <t>Variances</t>
  </si>
  <si>
    <t>Standard Deviations</t>
  </si>
  <si>
    <t>Arithmetic Means</t>
  </si>
  <si>
    <t>Geometric Means</t>
  </si>
  <si>
    <t>Standard Deviations as Square Root of Variances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</si>
  <si>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</si>
  <si>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</si>
  <si>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</si>
  <si>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</si>
  <si>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</si>
  <si>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</si>
  <si>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</si>
  <si>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</si>
  <si>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</si>
  <si>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</si>
  <si>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</si>
  <si>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</si>
  <si>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</si>
  <si>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</si>
  <si>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</si>
  <si>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</si>
  <si>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</si>
  <si>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</si>
  <si>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</si>
  <si>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</si>
  <si>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</si>
  <si>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</si>
  <si>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</si>
  <si>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</si>
  <si>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</si>
  <si>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1. Data -&gt; Analysis Tools -&gt; Ensure that Analysis ToolPak is ticked</t>
  </si>
  <si>
    <t>2. Data -&gt; Data Analysis -&gt; Regression -&gt; Highlight cells for outcome variable (Y) and input variable (X).</t>
  </si>
  <si>
    <t>3 ways to calculate regression coefficient for small stocks (X) on large stocks (Y)</t>
  </si>
  <si>
    <t>1. Divide covariance (X,Y) by variance of X</t>
  </si>
  <si>
    <t>2. Use slope command</t>
  </si>
  <si>
    <t>3. Use regression toolpack</t>
  </si>
  <si>
    <t>For example, a regression of the relationship of how Small Stocks Returns as an input predict Large Stock Returns as an outcome.</t>
  </si>
  <si>
    <t xml:space="preserve">Select Cells B2:B11 for Y and select Cells C2:C11 for Y. </t>
  </si>
  <si>
    <t>Or select Cells B1:B11 for Y and select Cells C1:C11 for Y and check 'labels' box.</t>
  </si>
  <si>
    <t>Approach 3 allows for more sophisticated regression analysis with multiple variables as predictors.</t>
  </si>
  <si>
    <t>Note that geomeans doesn't work with negative numbers, so you need to add 100 and subtract this. If data was in the format where 0.2 is 20% you could subtract 1 instead of 100.</t>
  </si>
  <si>
    <t>Market Portfolio Return</t>
  </si>
  <si>
    <t>Individual GK Stock Return</t>
  </si>
  <si>
    <t>Regression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</si>
</sst>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%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164" fontId="1" fillId="0" borderId="0" xfId="0" applyNumberFormat="1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0FF"/>
      <color rgb="FFE79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W5ExampleQ6Solution!$C$1</c:f>
              <c:strCache>
                <c:ptCount val="1"/>
                <c:pt idx="0">
                  <c:v>Market Portfolio Return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7625" cap="rnd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W5ExampleQ6Solution!$C$2:$C$6</c:f>
              <c:numCache>
                <c:formatCode>0%</c:formatCode>
                <c:ptCount val="5"/>
                <c:pt idx="0">
                  <c:v>0.08</c:v>
                </c:pt>
                <c:pt idx="1">
                  <c:v>0.02</c:v>
                </c:pt>
                <c:pt idx="2">
                  <c:v>-7.0000000000000007E-2</c:v>
                </c:pt>
                <c:pt idx="3">
                  <c:v>0.03</c:v>
                </c:pt>
                <c:pt idx="4">
                  <c:v>0.02</c:v>
                </c:pt>
              </c:numCache>
            </c:numRef>
          </c:xVal>
          <c:yVal>
            <c:numRef>
              <c:f>W5ExampleQ6Solution!$B$2:$B$6</c:f>
              <c:numCache>
                <c:formatCode>0%</c:formatCode>
                <c:ptCount val="5"/>
                <c:pt idx="0">
                  <c:v>0.15</c:v>
                </c:pt>
                <c:pt idx="1">
                  <c:v>0.06</c:v>
                </c:pt>
                <c:pt idx="2">
                  <c:v>-0.1</c:v>
                </c:pt>
                <c:pt idx="3">
                  <c:v>0</c:v>
                </c:pt>
                <c:pt idx="4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A-4C41-89BD-B75B9A549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538384"/>
        <c:axId val="813540272"/>
      </c:scatterChart>
      <c:valAx>
        <c:axId val="81353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40272"/>
        <c:crosses val="autoZero"/>
        <c:crossBetween val="midCat"/>
      </c:valAx>
      <c:valAx>
        <c:axId val="81354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3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2</xdr:row>
      <xdr:rowOff>120650</xdr:rowOff>
    </xdr:from>
    <xdr:to>
      <xdr:col>10</xdr:col>
      <xdr:colOff>215900</xdr:colOff>
      <xdr:row>16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F28B55-04F3-B565-F3F1-6EEC857DF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283C-87AC-2944-8DAD-648FE50FC9F7}">
  <dimension ref="A1:C11"/>
  <sheetViews>
    <sheetView tabSelected="1" workbookViewId="0">
      <selection activeCell="B13" sqref="B13"/>
    </sheetView>
  </sheetViews>
  <sheetFormatPr baseColWidth="10" defaultRowHeight="16" x14ac:dyDescent="0.2"/>
  <cols>
    <col min="2" max="2" width="11.1640625" bestFit="1" customWidth="1"/>
    <col min="3" max="3" width="11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2010</v>
      </c>
      <c r="B2" s="2">
        <v>30.24</v>
      </c>
      <c r="C2" s="2">
        <v>21.63</v>
      </c>
    </row>
    <row r="3" spans="1:3" x14ac:dyDescent="0.2">
      <c r="A3">
        <v>2011</v>
      </c>
      <c r="B3" s="2">
        <v>28.78</v>
      </c>
      <c r="C3" s="2">
        <v>-1.86</v>
      </c>
    </row>
    <row r="4" spans="1:3" x14ac:dyDescent="0.2">
      <c r="A4">
        <v>2012</v>
      </c>
      <c r="B4" s="2">
        <v>20.76</v>
      </c>
      <c r="C4" s="2">
        <v>31.51</v>
      </c>
    </row>
    <row r="5" spans="1:3" x14ac:dyDescent="0.2">
      <c r="A5">
        <v>2013</v>
      </c>
      <c r="B5" s="2">
        <v>-7.93</v>
      </c>
      <c r="C5" s="2">
        <v>1.26</v>
      </c>
    </row>
    <row r="6" spans="1:3" x14ac:dyDescent="0.2">
      <c r="A6">
        <v>2014</v>
      </c>
      <c r="B6" s="2">
        <v>-11.72</v>
      </c>
      <c r="C6" s="2">
        <v>24.56</v>
      </c>
    </row>
    <row r="7" spans="1:3" x14ac:dyDescent="0.2">
      <c r="A7">
        <v>2015</v>
      </c>
      <c r="B7" s="2">
        <v>-22.77</v>
      </c>
      <c r="C7" s="2">
        <v>-13.79</v>
      </c>
    </row>
    <row r="8" spans="1:3" x14ac:dyDescent="0.2">
      <c r="A8">
        <v>2016</v>
      </c>
      <c r="B8" s="2">
        <v>25.5</v>
      </c>
      <c r="C8" s="2">
        <v>52.77</v>
      </c>
    </row>
    <row r="9" spans="1:3" x14ac:dyDescent="0.2">
      <c r="A9">
        <v>2017</v>
      </c>
      <c r="B9" s="2">
        <v>10.27</v>
      </c>
      <c r="C9" s="2">
        <v>17.45</v>
      </c>
    </row>
    <row r="10" spans="1:3" x14ac:dyDescent="0.2">
      <c r="A10">
        <v>2018</v>
      </c>
      <c r="B10" s="2">
        <v>5.61</v>
      </c>
      <c r="C10" s="2">
        <v>5.96</v>
      </c>
    </row>
    <row r="11" spans="1:3" x14ac:dyDescent="0.2">
      <c r="A11">
        <v>2019</v>
      </c>
      <c r="B11" s="2">
        <v>14.51</v>
      </c>
      <c r="C11" s="2">
        <v>18.64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B65E-4A54-C643-8E67-50C037F97F58}">
  <dimension ref="A1:D39"/>
  <sheetViews>
    <sheetView workbookViewId="0">
      <selection sqref="A1:C11"/>
    </sheetView>
  </sheetViews>
  <sheetFormatPr baseColWidth="10" defaultRowHeight="16" x14ac:dyDescent="0.2"/>
  <cols>
    <col min="1" max="1" width="41.6640625" bestFit="1" customWidth="1"/>
    <col min="2" max="3" width="22" bestFit="1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>
        <v>2010</v>
      </c>
      <c r="B2" s="2">
        <v>30.24</v>
      </c>
      <c r="C2" s="2">
        <v>21.63</v>
      </c>
    </row>
    <row r="3" spans="1:4" x14ac:dyDescent="0.2">
      <c r="A3">
        <v>2011</v>
      </c>
      <c r="B3" s="2">
        <v>28.78</v>
      </c>
      <c r="C3" s="2">
        <v>-1.86</v>
      </c>
    </row>
    <row r="4" spans="1:4" x14ac:dyDescent="0.2">
      <c r="A4">
        <v>2012</v>
      </c>
      <c r="B4" s="2">
        <v>20.76</v>
      </c>
      <c r="C4" s="2">
        <v>31.51</v>
      </c>
    </row>
    <row r="5" spans="1:4" x14ac:dyDescent="0.2">
      <c r="A5">
        <v>2013</v>
      </c>
      <c r="B5" s="2">
        <v>-7.93</v>
      </c>
      <c r="C5" s="2">
        <v>1.26</v>
      </c>
    </row>
    <row r="6" spans="1:4" x14ac:dyDescent="0.2">
      <c r="A6">
        <v>2014</v>
      </c>
      <c r="B6" s="2">
        <v>-11.72</v>
      </c>
      <c r="C6" s="2">
        <v>24.56</v>
      </c>
    </row>
    <row r="7" spans="1:4" x14ac:dyDescent="0.2">
      <c r="A7">
        <v>2015</v>
      </c>
      <c r="B7" s="2">
        <v>-22.77</v>
      </c>
      <c r="C7" s="2">
        <v>-13.79</v>
      </c>
    </row>
    <row r="8" spans="1:4" x14ac:dyDescent="0.2">
      <c r="A8">
        <v>2016</v>
      </c>
      <c r="B8" s="2">
        <v>25.5</v>
      </c>
      <c r="C8" s="2">
        <v>52.77</v>
      </c>
    </row>
    <row r="9" spans="1:4" x14ac:dyDescent="0.2">
      <c r="A9">
        <v>2017</v>
      </c>
      <c r="B9" s="2">
        <v>10.27</v>
      </c>
      <c r="C9" s="2">
        <v>17.45</v>
      </c>
    </row>
    <row r="10" spans="1:4" x14ac:dyDescent="0.2">
      <c r="A10">
        <v>2018</v>
      </c>
      <c r="B10" s="2">
        <v>5.61</v>
      </c>
      <c r="C10" s="2">
        <v>5.96</v>
      </c>
    </row>
    <row r="11" spans="1:4" x14ac:dyDescent="0.2">
      <c r="A11">
        <v>2019</v>
      </c>
      <c r="B11" s="2">
        <v>14.51</v>
      </c>
      <c r="C11" s="2">
        <v>18.64</v>
      </c>
    </row>
    <row r="13" spans="1:4" x14ac:dyDescent="0.2">
      <c r="A13" s="6" t="s">
        <v>7</v>
      </c>
      <c r="B13" s="7">
        <f>AVERAGE(B$2:B$11)</f>
        <v>9.3249999999999993</v>
      </c>
      <c r="C13" s="7">
        <f>AVERAGE(C$2:C$11)</f>
        <v>15.812999999999999</v>
      </c>
      <c r="D13" s="7"/>
    </row>
    <row r="14" spans="1:4" x14ac:dyDescent="0.2">
      <c r="A14" s="6" t="s">
        <v>8</v>
      </c>
      <c r="B14" s="7" cm="1">
        <f t="array" ref="B14">GEOMEAN(B$2:B$11+100)-100</f>
        <v>7.8433070760127919</v>
      </c>
      <c r="C14" s="7" cm="1">
        <f t="array" ref="C14">GEOMEAN(C$2:C$11+100)-100</f>
        <v>14.432237372739976</v>
      </c>
      <c r="D14" s="7" t="s">
        <v>45</v>
      </c>
    </row>
    <row r="15" spans="1:4" x14ac:dyDescent="0.2">
      <c r="A15" s="6" t="s">
        <v>5</v>
      </c>
      <c r="B15" s="7">
        <f>_xlfn.VAR.S(B$2:B$11)</f>
        <v>335.6242944444445</v>
      </c>
      <c r="C15" s="7">
        <f>_xlfn.VAR.S(C$2:C$11)</f>
        <v>358.97542333333331</v>
      </c>
      <c r="D15" s="7"/>
    </row>
    <row r="16" spans="1:4" x14ac:dyDescent="0.2">
      <c r="A16" s="6" t="s">
        <v>6</v>
      </c>
      <c r="B16" s="7">
        <f>STDEV(B$2:B$11)</f>
        <v>18.320051704196811</v>
      </c>
      <c r="C16" s="7">
        <f>STDEV(C$2:C$11)</f>
        <v>18.946646756968192</v>
      </c>
      <c r="D16" s="7"/>
    </row>
    <row r="17" spans="1:4" x14ac:dyDescent="0.2">
      <c r="A17" s="6" t="s">
        <v>9</v>
      </c>
      <c r="B17" s="7">
        <f>SQRT(B$15)</f>
        <v>18.320051704196811</v>
      </c>
      <c r="C17" s="7">
        <f>SQRT(C$15)</f>
        <v>18.946646756968192</v>
      </c>
      <c r="D17" s="7"/>
    </row>
    <row r="18" spans="1:4" x14ac:dyDescent="0.2">
      <c r="A18" s="7"/>
      <c r="B18" s="7"/>
      <c r="C18" s="7"/>
      <c r="D18" s="7"/>
    </row>
    <row r="19" spans="1:4" x14ac:dyDescent="0.2">
      <c r="A19" s="6" t="s">
        <v>3</v>
      </c>
      <c r="B19" s="7"/>
      <c r="C19" s="7"/>
      <c r="D19" s="7"/>
    </row>
    <row r="20" spans="1:4" x14ac:dyDescent="0.2">
      <c r="A20" s="7">
        <f>_xlfn.COVARIANCE.S($B$2:$B$11,$C$2:$C$11)</f>
        <v>180.56195000000002</v>
      </c>
      <c r="B20" s="7"/>
      <c r="C20" s="7"/>
      <c r="D20" s="7"/>
    </row>
    <row r="21" spans="1:4" x14ac:dyDescent="0.2">
      <c r="A21" s="7"/>
      <c r="B21" s="7"/>
      <c r="C21" s="7"/>
      <c r="D21" s="7"/>
    </row>
    <row r="22" spans="1:4" x14ac:dyDescent="0.2">
      <c r="A22" s="6" t="s">
        <v>4</v>
      </c>
      <c r="B22" s="7"/>
      <c r="C22" s="7"/>
      <c r="D22" s="7"/>
    </row>
    <row r="23" spans="1:4" x14ac:dyDescent="0.2">
      <c r="A23" s="7">
        <f>CORREL($B$2:$B$11,$C$2:$C$11)</f>
        <v>0.52019620926311527</v>
      </c>
      <c r="B23" s="7"/>
      <c r="C23" s="7"/>
      <c r="D23" s="7"/>
    </row>
    <row r="24" spans="1:4" x14ac:dyDescent="0.2">
      <c r="A24" s="7"/>
      <c r="B24" s="7"/>
      <c r="C24" s="7"/>
      <c r="D24" s="7"/>
    </row>
    <row r="25" spans="1:4" x14ac:dyDescent="0.2">
      <c r="A25" s="6" t="s">
        <v>37</v>
      </c>
      <c r="B25" s="7"/>
      <c r="C25" s="7"/>
      <c r="D25" s="7"/>
    </row>
    <row r="26" spans="1:4" x14ac:dyDescent="0.2">
      <c r="A26" s="6" t="s">
        <v>38</v>
      </c>
      <c r="B26" s="7"/>
      <c r="C26" s="7"/>
      <c r="D26" s="7"/>
    </row>
    <row r="27" spans="1:4" x14ac:dyDescent="0.2">
      <c r="A27" s="7">
        <f>$A$20/$C$15</f>
        <v>0.50299251219862995</v>
      </c>
      <c r="B27" s="7"/>
      <c r="C27" s="7"/>
      <c r="D27" s="7"/>
    </row>
    <row r="28" spans="1:4" x14ac:dyDescent="0.2">
      <c r="A28" s="7"/>
      <c r="B28" s="7"/>
      <c r="C28" s="7"/>
      <c r="D28" s="7"/>
    </row>
    <row r="29" spans="1:4" x14ac:dyDescent="0.2">
      <c r="A29" s="6" t="s">
        <v>39</v>
      </c>
      <c r="B29" s="7"/>
      <c r="C29" s="7"/>
      <c r="D29" s="7"/>
    </row>
    <row r="30" spans="1:4" x14ac:dyDescent="0.2">
      <c r="A30" s="7">
        <f>SLOPE(B$2:B$11,C$2:C$11)</f>
        <v>0.50299251219862995</v>
      </c>
      <c r="B30" s="7"/>
      <c r="C30" s="7"/>
      <c r="D30" s="7"/>
    </row>
    <row r="32" spans="1:4" x14ac:dyDescent="0.2">
      <c r="A32" s="1" t="s">
        <v>40</v>
      </c>
    </row>
    <row r="33" spans="1:1" x14ac:dyDescent="0.2">
      <c r="A33" t="s">
        <v>35</v>
      </c>
    </row>
    <row r="34" spans="1:1" x14ac:dyDescent="0.2">
      <c r="A34" t="s">
        <v>36</v>
      </c>
    </row>
    <row r="35" spans="1:1" x14ac:dyDescent="0.2">
      <c r="A35" t="s">
        <v>41</v>
      </c>
    </row>
    <row r="36" spans="1:1" x14ac:dyDescent="0.2">
      <c r="A36" t="s">
        <v>42</v>
      </c>
    </row>
    <row r="37" spans="1:1" x14ac:dyDescent="0.2">
      <c r="A37" t="s">
        <v>43</v>
      </c>
    </row>
    <row r="39" spans="1:1" x14ac:dyDescent="0.2">
      <c r="A3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E9B3-1145-5E47-97E8-52CECA2803F3}">
  <dimension ref="A1:I18"/>
  <sheetViews>
    <sheetView workbookViewId="0">
      <selection activeCell="F43" sqref="F43"/>
    </sheetView>
  </sheetViews>
  <sheetFormatPr baseColWidth="10" defaultRowHeight="16" x14ac:dyDescent="0.2"/>
  <sheetData>
    <row r="1" spans="1:9" x14ac:dyDescent="0.2">
      <c r="A1" t="s">
        <v>10</v>
      </c>
    </row>
    <row r="2" spans="1:9" ht="17" thickBot="1" x14ac:dyDescent="0.25"/>
    <row r="3" spans="1:9" x14ac:dyDescent="0.2">
      <c r="A3" s="5" t="s">
        <v>11</v>
      </c>
      <c r="B3" s="5"/>
    </row>
    <row r="4" spans="1:9" x14ac:dyDescent="0.2">
      <c r="A4" t="s">
        <v>12</v>
      </c>
      <c r="B4">
        <v>0.52019620926311538</v>
      </c>
    </row>
    <row r="5" spans="1:9" x14ac:dyDescent="0.2">
      <c r="A5" t="s">
        <v>13</v>
      </c>
      <c r="B5">
        <v>0.27060409613171499</v>
      </c>
    </row>
    <row r="6" spans="1:9" x14ac:dyDescent="0.2">
      <c r="A6" t="s">
        <v>14</v>
      </c>
      <c r="B6">
        <v>0.17942960814817938</v>
      </c>
    </row>
    <row r="7" spans="1:9" x14ac:dyDescent="0.2">
      <c r="A7" t="s">
        <v>15</v>
      </c>
      <c r="B7">
        <v>16.595281221096212</v>
      </c>
    </row>
    <row r="8" spans="1:9" ht="17" thickBot="1" x14ac:dyDescent="0.25">
      <c r="A8" s="3" t="s">
        <v>16</v>
      </c>
      <c r="B8" s="3">
        <v>10</v>
      </c>
    </row>
    <row r="10" spans="1:9" ht="17" thickBot="1" x14ac:dyDescent="0.25">
      <c r="A10" t="s">
        <v>17</v>
      </c>
    </row>
    <row r="11" spans="1:9" x14ac:dyDescent="0.2">
      <c r="A11" s="4"/>
      <c r="B11" s="4" t="s">
        <v>22</v>
      </c>
      <c r="C11" s="4" t="s">
        <v>23</v>
      </c>
      <c r="D11" s="4" t="s">
        <v>24</v>
      </c>
      <c r="E11" s="4" t="s">
        <v>25</v>
      </c>
      <c r="F11" s="4" t="s">
        <v>26</v>
      </c>
    </row>
    <row r="12" spans="1:9" x14ac:dyDescent="0.2">
      <c r="A12" t="s">
        <v>18</v>
      </c>
      <c r="B12">
        <v>1</v>
      </c>
      <c r="C12">
        <v>817.39177954185107</v>
      </c>
      <c r="D12">
        <v>817.39177954185107</v>
      </c>
      <c r="E12">
        <v>2.9679804308918181</v>
      </c>
      <c r="F12">
        <v>0.12322432000206832</v>
      </c>
    </row>
    <row r="13" spans="1:9" x14ac:dyDescent="0.2">
      <c r="A13" t="s">
        <v>19</v>
      </c>
      <c r="B13">
        <v>8</v>
      </c>
      <c r="C13">
        <v>2203.2268704581488</v>
      </c>
      <c r="D13">
        <v>275.4033588072686</v>
      </c>
    </row>
    <row r="14" spans="1:9" ht="17" thickBot="1" x14ac:dyDescent="0.25">
      <c r="A14" s="3" t="s">
        <v>20</v>
      </c>
      <c r="B14" s="3">
        <v>9</v>
      </c>
      <c r="C14" s="3">
        <v>3020.6186499999999</v>
      </c>
      <c r="D14" s="3"/>
      <c r="E14" s="3"/>
      <c r="F14" s="3"/>
    </row>
    <row r="15" spans="1:9" ht="17" thickBot="1" x14ac:dyDescent="0.25"/>
    <row r="16" spans="1:9" x14ac:dyDescent="0.2">
      <c r="A16" s="4"/>
      <c r="B16" s="4" t="s">
        <v>27</v>
      </c>
      <c r="C16" s="4" t="s">
        <v>15</v>
      </c>
      <c r="D16" s="4" t="s">
        <v>28</v>
      </c>
      <c r="E16" s="4" t="s">
        <v>29</v>
      </c>
      <c r="F16" s="4" t="s">
        <v>30</v>
      </c>
      <c r="G16" s="4" t="s">
        <v>31</v>
      </c>
      <c r="H16" s="4" t="s">
        <v>32</v>
      </c>
      <c r="I16" s="4" t="s">
        <v>33</v>
      </c>
    </row>
    <row r="17" spans="1:9" x14ac:dyDescent="0.2">
      <c r="A17" t="s">
        <v>21</v>
      </c>
      <c r="B17">
        <v>1.3711794046030663</v>
      </c>
      <c r="C17">
        <v>6.989677508339545</v>
      </c>
      <c r="D17">
        <v>0.1961720555729618</v>
      </c>
      <c r="E17">
        <v>0.84936704334810809</v>
      </c>
      <c r="F17">
        <v>-14.747045833371484</v>
      </c>
      <c r="G17">
        <v>17.489404642577618</v>
      </c>
      <c r="H17">
        <v>-14.747045833371484</v>
      </c>
      <c r="I17">
        <v>17.489404642577618</v>
      </c>
    </row>
    <row r="18" spans="1:9" ht="17" thickBot="1" x14ac:dyDescent="0.25">
      <c r="A18" s="3" t="s">
        <v>34</v>
      </c>
      <c r="B18" s="3">
        <v>0.50299251219862984</v>
      </c>
      <c r="C18" s="3">
        <v>0.2919651417999653</v>
      </c>
      <c r="D18" s="3">
        <v>1.722782757892537</v>
      </c>
      <c r="E18" s="3">
        <v>0.12322432000206854</v>
      </c>
      <c r="F18" s="3">
        <v>-0.17028031212756117</v>
      </c>
      <c r="G18" s="3">
        <v>1.1762653365248208</v>
      </c>
      <c r="H18" s="3">
        <v>-0.17028031212756117</v>
      </c>
      <c r="I18" s="3">
        <v>1.1762653365248208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E3E4-1B1E-8645-A48F-3CCBFA119F5B}">
  <dimension ref="A1:C6"/>
  <sheetViews>
    <sheetView workbookViewId="0">
      <selection sqref="A1:C6"/>
    </sheetView>
  </sheetViews>
  <sheetFormatPr baseColWidth="10" defaultRowHeight="16" x14ac:dyDescent="0.2"/>
  <cols>
    <col min="2" max="2" width="22.6640625" bestFit="1" customWidth="1"/>
    <col min="3" max="3" width="20" bestFit="1" customWidth="1"/>
  </cols>
  <sheetData>
    <row r="1" spans="1:3" x14ac:dyDescent="0.2">
      <c r="A1" t="s">
        <v>0</v>
      </c>
      <c r="B1" t="s">
        <v>47</v>
      </c>
      <c r="C1" t="s">
        <v>46</v>
      </c>
    </row>
    <row r="2" spans="1:3" x14ac:dyDescent="0.2">
      <c r="A2">
        <v>1</v>
      </c>
      <c r="B2" s="8">
        <v>0.15</v>
      </c>
      <c r="C2" s="8">
        <v>0.08</v>
      </c>
    </row>
    <row r="3" spans="1:3" x14ac:dyDescent="0.2">
      <c r="A3">
        <v>2</v>
      </c>
      <c r="B3" s="8">
        <v>0.06</v>
      </c>
      <c r="C3" s="8">
        <v>0.02</v>
      </c>
    </row>
    <row r="4" spans="1:3" x14ac:dyDescent="0.2">
      <c r="A4">
        <v>3</v>
      </c>
      <c r="B4" s="8">
        <v>-0.1</v>
      </c>
      <c r="C4" s="8">
        <v>-7.0000000000000007E-2</v>
      </c>
    </row>
    <row r="5" spans="1:3" x14ac:dyDescent="0.2">
      <c r="A5">
        <v>4</v>
      </c>
      <c r="B5" s="8">
        <v>0</v>
      </c>
      <c r="C5" s="8">
        <v>0.03</v>
      </c>
    </row>
    <row r="6" spans="1:3" x14ac:dyDescent="0.2">
      <c r="A6">
        <v>5</v>
      </c>
      <c r="B6" s="8">
        <v>0.04</v>
      </c>
      <c r="C6" s="8">
        <v>0.02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A231-7642-964B-A5AC-C0B188795406}">
  <dimension ref="A1:I28"/>
  <sheetViews>
    <sheetView workbookViewId="0">
      <selection sqref="A1:C6"/>
    </sheetView>
  </sheetViews>
  <sheetFormatPr baseColWidth="10" defaultRowHeight="16" x14ac:dyDescent="0.2"/>
  <cols>
    <col min="1" max="1" width="20" bestFit="1" customWidth="1"/>
    <col min="2" max="2" width="22.6640625" bestFit="1" customWidth="1"/>
    <col min="3" max="3" width="20" bestFit="1" customWidth="1"/>
  </cols>
  <sheetData>
    <row r="1" spans="1:7" x14ac:dyDescent="0.2">
      <c r="A1" t="s">
        <v>0</v>
      </c>
      <c r="B1" t="s">
        <v>47</v>
      </c>
      <c r="C1" t="s">
        <v>46</v>
      </c>
      <c r="G1" s="9"/>
    </row>
    <row r="2" spans="1:7" x14ac:dyDescent="0.2">
      <c r="A2">
        <v>1</v>
      </c>
      <c r="B2" s="8">
        <v>0.15</v>
      </c>
      <c r="C2" s="8">
        <v>0.08</v>
      </c>
    </row>
    <row r="3" spans="1:7" x14ac:dyDescent="0.2">
      <c r="A3">
        <v>2</v>
      </c>
      <c r="B3" s="8">
        <v>0.06</v>
      </c>
      <c r="C3" s="8">
        <v>0.02</v>
      </c>
    </row>
    <row r="4" spans="1:7" x14ac:dyDescent="0.2">
      <c r="A4">
        <v>3</v>
      </c>
      <c r="B4" s="8">
        <v>-0.1</v>
      </c>
      <c r="C4" s="8">
        <v>-7.0000000000000007E-2</v>
      </c>
    </row>
    <row r="5" spans="1:7" x14ac:dyDescent="0.2">
      <c r="A5">
        <v>4</v>
      </c>
      <c r="B5" s="8">
        <v>0</v>
      </c>
      <c r="C5" s="8">
        <v>0.03</v>
      </c>
    </row>
    <row r="6" spans="1:7" x14ac:dyDescent="0.2">
      <c r="A6">
        <v>5</v>
      </c>
      <c r="B6" s="8">
        <v>0.04</v>
      </c>
      <c r="C6" s="8">
        <v>0.02</v>
      </c>
    </row>
    <row r="8" spans="1:7" x14ac:dyDescent="0.2">
      <c r="A8" s="1" t="s">
        <v>48</v>
      </c>
    </row>
    <row r="9" spans="1:7" x14ac:dyDescent="0.2">
      <c r="A9" s="7">
        <f>SLOPE(B$2:B$6,C$2:C$6)</f>
        <v>1.5870307167235491</v>
      </c>
    </row>
    <row r="11" spans="1:7" x14ac:dyDescent="0.2">
      <c r="A11" t="s">
        <v>10</v>
      </c>
    </row>
    <row r="12" spans="1:7" ht="17" thickBot="1" x14ac:dyDescent="0.25"/>
    <row r="13" spans="1:7" x14ac:dyDescent="0.2">
      <c r="A13" s="5" t="s">
        <v>11</v>
      </c>
      <c r="B13" s="5"/>
    </row>
    <row r="14" spans="1:7" x14ac:dyDescent="0.2">
      <c r="A14" t="s">
        <v>12</v>
      </c>
      <c r="B14">
        <v>0.94293139644693236</v>
      </c>
    </row>
    <row r="15" spans="1:7" x14ac:dyDescent="0.2">
      <c r="A15" t="s">
        <v>13</v>
      </c>
      <c r="B15">
        <v>0.88911961840536202</v>
      </c>
    </row>
    <row r="16" spans="1:7" x14ac:dyDescent="0.2">
      <c r="A16" t="s">
        <v>14</v>
      </c>
      <c r="B16">
        <v>0.8521594912071494</v>
      </c>
    </row>
    <row r="17" spans="1:9" x14ac:dyDescent="0.2">
      <c r="A17" t="s">
        <v>15</v>
      </c>
      <c r="B17">
        <v>3.5029647771290251E-2</v>
      </c>
    </row>
    <row r="18" spans="1:9" ht="17" thickBot="1" x14ac:dyDescent="0.25">
      <c r="A18" s="3" t="s">
        <v>16</v>
      </c>
      <c r="B18" s="3">
        <v>5</v>
      </c>
    </row>
    <row r="20" spans="1:9" ht="17" thickBot="1" x14ac:dyDescent="0.25">
      <c r="A20" t="s">
        <v>17</v>
      </c>
    </row>
    <row r="21" spans="1:9" x14ac:dyDescent="0.2">
      <c r="A21" s="4"/>
      <c r="B21" s="4" t="s">
        <v>22</v>
      </c>
      <c r="C21" s="4" t="s">
        <v>23</v>
      </c>
      <c r="D21" s="4" t="s">
        <v>24</v>
      </c>
      <c r="E21" s="4" t="s">
        <v>25</v>
      </c>
      <c r="F21" s="4" t="s">
        <v>26</v>
      </c>
    </row>
    <row r="22" spans="1:9" x14ac:dyDescent="0.2">
      <c r="A22" t="s">
        <v>18</v>
      </c>
      <c r="B22">
        <v>1</v>
      </c>
      <c r="C22">
        <v>2.951877133105802E-2</v>
      </c>
      <c r="D22">
        <v>2.951877133105802E-2</v>
      </c>
      <c r="E22">
        <v>24.056183942147229</v>
      </c>
      <c r="F22">
        <v>1.6224701409205438E-2</v>
      </c>
    </row>
    <row r="23" spans="1:9" x14ac:dyDescent="0.2">
      <c r="A23" t="s">
        <v>19</v>
      </c>
      <c r="B23">
        <v>3</v>
      </c>
      <c r="C23">
        <v>3.6812286689419794E-3</v>
      </c>
      <c r="D23">
        <v>1.2270762229806599E-3</v>
      </c>
    </row>
    <row r="24" spans="1:9" ht="17" thickBot="1" x14ac:dyDescent="0.25">
      <c r="A24" s="3" t="s">
        <v>20</v>
      </c>
      <c r="B24" s="3">
        <v>4</v>
      </c>
      <c r="C24" s="3">
        <v>3.32E-2</v>
      </c>
      <c r="D24" s="3"/>
      <c r="E24" s="3"/>
      <c r="F24" s="3"/>
    </row>
    <row r="25" spans="1:9" ht="17" thickBot="1" x14ac:dyDescent="0.25"/>
    <row r="26" spans="1:9" x14ac:dyDescent="0.2">
      <c r="A26" s="4"/>
      <c r="B26" s="4" t="s">
        <v>27</v>
      </c>
      <c r="C26" s="4" t="s">
        <v>15</v>
      </c>
      <c r="D26" s="4" t="s">
        <v>28</v>
      </c>
      <c r="E26" s="4" t="s">
        <v>29</v>
      </c>
      <c r="F26" s="4" t="s">
        <v>30</v>
      </c>
      <c r="G26" s="4" t="s">
        <v>31</v>
      </c>
      <c r="H26" s="4" t="s">
        <v>32</v>
      </c>
      <c r="I26" s="4" t="s">
        <v>33</v>
      </c>
    </row>
    <row r="27" spans="1:9" x14ac:dyDescent="0.2">
      <c r="A27" t="s">
        <v>21</v>
      </c>
      <c r="B27">
        <v>4.6075085324232198E-3</v>
      </c>
      <c r="C27">
        <v>1.6499038599950965E-2</v>
      </c>
      <c r="D27">
        <v>0.27925921286328242</v>
      </c>
      <c r="E27">
        <v>0.79819149856089888</v>
      </c>
      <c r="F27">
        <v>-4.7899795900724025E-2</v>
      </c>
      <c r="G27">
        <v>5.7114812965570465E-2</v>
      </c>
      <c r="H27">
        <v>-4.7899795900724025E-2</v>
      </c>
      <c r="I27">
        <v>5.7114812965570465E-2</v>
      </c>
    </row>
    <row r="28" spans="1:9" ht="17" thickBot="1" x14ac:dyDescent="0.25">
      <c r="A28" s="3" t="s">
        <v>46</v>
      </c>
      <c r="B28" s="3">
        <v>1.5870307167235487</v>
      </c>
      <c r="C28" s="3">
        <v>0.32357276837180976</v>
      </c>
      <c r="D28" s="3">
        <v>4.9047103831059404</v>
      </c>
      <c r="E28" s="3">
        <v>1.6224701409205438E-2</v>
      </c>
      <c r="F28" s="3">
        <v>0.55727775552826131</v>
      </c>
      <c r="G28" s="3">
        <v>2.616783677918836</v>
      </c>
      <c r="H28" s="3">
        <v>0.55727775552826131</v>
      </c>
      <c r="I28" s="3">
        <v>2.616783677918836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W4ExampleQ2</vt:lpstr>
      <vt:lpstr>W5ExampleSolution</vt:lpstr>
      <vt:lpstr>W5ExampleRegression</vt:lpstr>
      <vt:lpstr>W5ExampleQ6</vt:lpstr>
      <vt:lpstr>W5ExampleQ6Solution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Guttman-Kenney</dc:creator>
  <cp:lastModifiedBy>Benedict Guttman-Kenney</cp:lastModifiedBy>
  <dcterms:created xsi:type="dcterms:W3CDTF">2025-02-09T17:37:28Z</dcterms:created>
  <dcterms:modified xsi:type="dcterms:W3CDTF">2025-03-17T14:46:00Z</dcterms:modified>
</cp:coreProperties>
</file>